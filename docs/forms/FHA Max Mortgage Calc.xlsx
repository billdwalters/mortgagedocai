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codeName="ThisWorkbook" defaultThemeVersion="166925"/>
  <mc:AlternateContent xmlns:mc="http://schemas.openxmlformats.org/markup-compatibility/2006">
    <mc:Choice Requires="x15">
      <x15ac:absPath xmlns:x15ac="http://schemas.microsoft.com/office/spreadsheetml/2010/11/ac" url="C:\Users\revah\OneDrive\Desktop\PCM\Forms\"/>
    </mc:Choice>
  </mc:AlternateContent>
  <xr:revisionPtr revIDLastSave="0" documentId="8_{A5549D16-13DE-4FF2-AE65-FDB788AC225A}" xr6:coauthVersionLast="47" xr6:coauthVersionMax="47" xr10:uidLastSave="{00000000-0000-0000-0000-000000000000}"/>
  <bookViews>
    <workbookView xWindow="-120" yWindow="-120" windowWidth="29040" windowHeight="16440" activeTab="1" xr2:uid="{986FD564-8E7D-448B-BFD1-BA4F62A2657D}"/>
  </bookViews>
  <sheets>
    <sheet name="Simple" sheetId="1" r:id="rId1"/>
    <sheet name=" Streamline (Owner-Occupied)" sheetId="2" r:id="rId2"/>
    <sheet name="R&amp;T"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I21" i="3" l="1"/>
  <c r="I9" i="3"/>
  <c r="I17" i="1"/>
  <c r="I21" i="1" s="1"/>
  <c r="I24" i="1" s="1"/>
  <c r="I26" i="1" s="1"/>
  <c r="I24" i="3" l="1"/>
  <c r="I26" i="3" s="1"/>
  <c r="I27" i="1"/>
  <c r="I10" i="2"/>
  <c r="I16" i="2" s="1"/>
  <c r="I18" i="2" s="1"/>
  <c r="I13" i="2"/>
  <c r="I27" i="3" l="1"/>
  <c r="I28" i="3" s="1"/>
  <c r="I19" i="2"/>
  <c r="I20" i="2" s="1"/>
</calcChain>
</file>

<file path=xl/sharedStrings.xml><?xml version="1.0" encoding="utf-8"?>
<sst xmlns="http://schemas.openxmlformats.org/spreadsheetml/2006/main" count="62" uniqueCount="45">
  <si>
    <t>Maximum Mortgage Amount Calculation</t>
  </si>
  <si>
    <t xml:space="preserve">For Owner-Occupied Principal Residences </t>
  </si>
  <si>
    <t>Outstanding principal balance of existing mortgage as of the month  prior to disbursement date for new mortgage</t>
  </si>
  <si>
    <t>Mortgage Insurance Premium (MIP) due on existing mortgage</t>
  </si>
  <si>
    <t>FHA - Streamline Refinance</t>
  </si>
  <si>
    <t>Interest due on the existing mortage until disbursement date (max 60 days)</t>
  </si>
  <si>
    <t>Step Two:  Obtain Original FHA Mortgage Amount from FHA Refiance Authorization</t>
  </si>
  <si>
    <t>Step One:  Review Payoff statement to obtain the following amounts:</t>
  </si>
  <si>
    <t>Step 3: Maximum Loan Amount</t>
  </si>
  <si>
    <t>Maximum Base Loan Amount</t>
  </si>
  <si>
    <t>Maximum Base Loan Amount (Lesser of Step 1 or Step 2 minus UFMIP refund)</t>
  </si>
  <si>
    <t>UFMIP Refund - See Unearned UFMIP by disbursement month in FHA Refinance Authorization Printout</t>
  </si>
  <si>
    <t>UFMIP for New FHA Mortgage ( 1.75%)</t>
  </si>
  <si>
    <t>TOTAL  (rounded down to nearest 1)</t>
  </si>
  <si>
    <t>Total Loan Amount  (Base Loan Amount plus UFMIP)</t>
  </si>
  <si>
    <t>Version RP-5-18-2020</t>
  </si>
  <si>
    <t>FHA -Simple Refinance</t>
  </si>
  <si>
    <t xml:space="preserve">FHA  Mortgage Limit Search </t>
  </si>
  <si>
    <t xml:space="preserve">Step One:  Enter Statutory County Loan limit for Subject Property - </t>
  </si>
  <si>
    <t>Step Two:  Multiply Subject Property's Adjusted Value * by 97.75%
* Adjusted Value for property acquired more than 12 months from case assignment is equal to appraised value, for property acquired less than 12 months, adjusted value is lesser of property's sales price or appraised value</t>
  </si>
  <si>
    <t>Step Three: Determine sum of existing FHA mortgqage debt and eligible costs associated with the transaction</t>
  </si>
  <si>
    <t>Unpaid principal balance of the FHA-insured first mortgage as of the month prior to mortgage disbursement</t>
  </si>
  <si>
    <t>the unpaid principal balance of any PACE obligations</t>
  </si>
  <si>
    <t>Pro rata MIP due on existing mortgage</t>
  </si>
  <si>
    <t>Late charges</t>
  </si>
  <si>
    <t xml:space="preserve">Escrow shortages </t>
  </si>
  <si>
    <t>Sub Total (rounded down to nearest 1)</t>
  </si>
  <si>
    <t>Less any UFMIP Refund - See Unearned UFMIP by disbursement month in the FHA Refinance Authorization Print-out</t>
  </si>
  <si>
    <t>Total (rounded down to nearest 1)</t>
  </si>
  <si>
    <t xml:space="preserve">The lesser of Step One or Step Two </t>
  </si>
  <si>
    <t>Step 4: Maximum Base Loan Amount</t>
  </si>
  <si>
    <t>The lesser of Step One, Step Two or Step 3</t>
  </si>
  <si>
    <t>FHA -Rate &amp; Term Refinance</t>
  </si>
  <si>
    <t>Enter Adjusted Value per definition above</t>
  </si>
  <si>
    <t>Maximum Base Loan Amount based on Property Acquisition date</t>
  </si>
  <si>
    <t>Step Three: Determine sum of existing mortgqage debt and eligible costs associated with the transaction</t>
  </si>
  <si>
    <t>Unpaid principal balance of the first mortgage as of the month prior to mortgage disbursement</t>
  </si>
  <si>
    <t xml:space="preserve">Step Two:  Multiply Subject Property's Adjusted Value * by 97.75%
* Adjusted Value for property acquired more than 12 months from case assignment is equal to appraised value, for property acquired less than 12 months from case assignment date, adjusted value is lesser of property's sales price or appraised value.  See 4000.1 Handbook for addional continuity of primary occupancy requirements </t>
  </si>
  <si>
    <t>The unpaid principal balance of any purchase money junior mortgage  as the month prior to mortgage disbursement  or the unpaid principal balance of any junior liens over 12 months old as of the date of mortgage Disbursement. If the balance or any portion of an equity line of credit in excess of $1,000 was advanced within the past 12 months and was for purposes other than repairs and rehabilitation of the property, that portion above and beyond $1,000 of the line of credit is not eligible for inclusion in the new mortgage</t>
  </si>
  <si>
    <t>Ex-spouse or co-borrower equity (See 4000.1 Handbook for Refinancing to Buy out Title Holder Equity eligibility</t>
  </si>
  <si>
    <t>interest due on the existing mortgages(s)</t>
  </si>
  <si>
    <t xml:space="preserve"> Total (rounded down to nearest 1)</t>
  </si>
  <si>
    <t>The lesser of Step One, Step Two or Step Three</t>
  </si>
  <si>
    <t>If applicable, less any UFMIP Refund (See FHA Authorization Print-out)</t>
  </si>
  <si>
    <t>Step 4: Maximum Base Loan Amount and Total Loan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</si>
</sst>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quot;$&quot;#,##0.00"/>
    <numFmt numFmtId="165" formatCode="0.0000"/>
    <numFmt numFmtId="166" formatCode="&quot;$&quot;#,##0.0000_);\(&quot;$&quot;#,##0.0000\)"/>
  </numFmts>
  <fonts count="10" x14ac:knownFonts="1">
    <font>
      <sz val="11"/>
      <color theme="1"/>
      <name val="Calibri"/>
      <family val="2"/>
      <scheme val="minor"/>
    </font>
    <font>
      <sz val="11"/>
      <color theme="1"/>
      <name val="Calibri"/>
      <family val="2"/>
      <scheme val="minor"/>
    </font>
    <font>
      <b/>
      <sz val="11"/>
      <color theme="1"/>
      <name val="Calibri"/>
      <family val="2"/>
      <scheme val="minor"/>
    </font>
    <font>
      <sz val="11"/>
      <color theme="0"/>
      <name val="Calibri"/>
      <family val="2"/>
      <scheme val="minor"/>
    </font>
    <font>
      <sz val="9"/>
      <color theme="1"/>
      <name val="Calibri"/>
      <family val="2"/>
      <scheme val="minor"/>
    </font>
    <font>
      <sz val="11"/>
      <color theme="1"/>
      <name val="Open Sans"/>
      <family val="2"/>
    </font>
    <font>
      <b/>
      <sz val="18"/>
      <color theme="1"/>
      <name val="Calibri"/>
      <family val="2"/>
      <scheme val="minor"/>
    </font>
    <font>
      <b/>
      <sz val="18"/>
      <name val="Calibri"/>
      <family val="2"/>
      <scheme val="minor"/>
    </font>
    <font>
      <b/>
      <sz val="11"/>
      <name val="Calibri"/>
      <family val="2"/>
      <scheme val="minor"/>
    </font>
    <font>
      <u/>
      <sz val="11"/>
      <color theme="10"/>
      <name val="Calibri"/>
      <family val="2"/>
      <scheme val="minor"/>
    </font>
  </fonts>
  <fills count="6">
    <fill>
      <patternFill patternType="none"/>
    </fill>
    <fill>
      <patternFill patternType="gray125"/>
    </fill>
    <fill>
      <patternFill patternType="solid">
        <fgColor theme="9"/>
        <bgColor indexed="64"/>
      </patternFill>
    </fill>
    <fill>
      <patternFill patternType="solid">
        <fgColor theme="0"/>
        <bgColor indexed="64"/>
      </patternFill>
    </fill>
    <fill>
      <patternFill patternType="solid">
        <fgColor theme="8" tint="-0.499984740745262"/>
        <bgColor indexed="64"/>
      </patternFill>
    </fill>
    <fill>
      <patternFill patternType="solid">
        <fgColor theme="7" tint="0.5999633777886288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s>
  <cellStyleXfs count="3">
    <xf numFmtId="0" fontId="0" fillId="0" borderId="0"/>
    <xf numFmtId="44" fontId="1" fillId="0" borderId="0" applyFont="0" applyFill="0" applyBorder="0" applyAlignment="0" applyProtection="0"/>
    <xf numFmtId="0" fontId="9" fillId="0" borderId="0" applyNumberFormat="0" applyFill="0" applyBorder="0" applyAlignment="0" applyProtection="0"/>
  </cellStyleXfs>
  <cellXfs count="54">
    <xf numFmtId="0" fontId="0" fillId="0" borderId="0" xfId="0"/>
    <xf numFmtId="0" fontId="5" fillId="0" borderId="0" xfId="0" applyFont="1"/>
    <xf numFmtId="164" fontId="0" fillId="0" borderId="0" xfId="0" applyNumberFormat="1"/>
    <xf numFmtId="44" fontId="0" fillId="2" borderId="1" xfId="1" applyFont="1" applyFill="1" applyBorder="1"/>
    <xf numFmtId="0" fontId="2" fillId="0" borderId="0" xfId="0" applyFont="1" applyAlignment="1">
      <alignment wrapText="1"/>
    </xf>
    <xf numFmtId="0" fontId="0" fillId="0" borderId="0" xfId="0" applyAlignment="1">
      <alignment wrapText="1"/>
    </xf>
    <xf numFmtId="44" fontId="0" fillId="0" borderId="0" xfId="1" applyFont="1"/>
    <xf numFmtId="44" fontId="0" fillId="2" borderId="1" xfId="0" applyNumberFormat="1" applyFill="1" applyBorder="1"/>
    <xf numFmtId="165" fontId="0" fillId="0" borderId="0" xfId="0" applyNumberFormat="1"/>
    <xf numFmtId="166" fontId="0" fillId="2" borderId="1" xfId="1" applyNumberFormat="1" applyFont="1" applyFill="1" applyBorder="1"/>
    <xf numFmtId="0" fontId="2" fillId="0" borderId="0" xfId="0" applyFont="1"/>
    <xf numFmtId="0" fontId="4" fillId="0" borderId="0" xfId="0" applyFont="1"/>
    <xf numFmtId="44" fontId="0" fillId="5" borderId="1" xfId="1" applyFont="1" applyFill="1" applyBorder="1" applyProtection="1">
      <protection locked="0"/>
    </xf>
    <xf numFmtId="44" fontId="0" fillId="5" borderId="3" xfId="1" applyFont="1" applyFill="1" applyBorder="1" applyProtection="1">
      <protection locked="0"/>
    </xf>
    <xf numFmtId="0" fontId="9" fillId="0" borderId="0" xfId="2"/>
    <xf numFmtId="0" fontId="9" fillId="0" borderId="0" xfId="2" applyBorder="1" applyAlignment="1">
      <alignment wrapText="1"/>
    </xf>
    <xf numFmtId="0" fontId="9" fillId="0" borderId="0" xfId="2" applyAlignment="1">
      <alignment wrapText="1"/>
    </xf>
    <xf numFmtId="0" fontId="3" fillId="3" borderId="3" xfId="0" applyFont="1" applyFill="1" applyBorder="1" applyAlignment="1">
      <alignment wrapText="1"/>
    </xf>
    <xf numFmtId="0" fontId="3" fillId="3" borderId="0" xfId="0" applyFont="1" applyFill="1" applyAlignment="1">
      <alignment wrapText="1"/>
    </xf>
    <xf numFmtId="0" fontId="0" fillId="3" borderId="0" xfId="0" applyFill="1" applyAlignment="1">
      <alignment wrapText="1"/>
    </xf>
    <xf numFmtId="0" fontId="0" fillId="3" borderId="2" xfId="0" applyFill="1" applyBorder="1" applyAlignment="1">
      <alignment wrapText="1"/>
    </xf>
    <xf numFmtId="0" fontId="3" fillId="4" borderId="3" xfId="0" applyFont="1" applyFill="1" applyBorder="1" applyAlignment="1">
      <alignment wrapText="1"/>
    </xf>
    <xf numFmtId="44" fontId="0" fillId="3" borderId="0" xfId="1" applyFont="1" applyFill="1" applyBorder="1"/>
    <xf numFmtId="44" fontId="0" fillId="3" borderId="0" xfId="1" applyFont="1" applyFill="1" applyBorder="1" applyProtection="1">
      <protection locked="0"/>
    </xf>
    <xf numFmtId="44" fontId="0" fillId="2" borderId="1" xfId="1" applyFont="1" applyFill="1" applyBorder="1" applyProtection="1"/>
    <xf numFmtId="44" fontId="0" fillId="3" borderId="0" xfId="1" applyFont="1" applyFill="1" applyProtection="1">
      <protection locked="0"/>
    </xf>
    <xf numFmtId="0" fontId="0" fillId="5" borderId="3" xfId="0" applyFill="1" applyBorder="1" applyAlignment="1" applyProtection="1">
      <alignment wrapText="1"/>
      <protection locked="0"/>
    </xf>
    <xf numFmtId="0" fontId="0" fillId="5" borderId="1" xfId="0" applyFill="1" applyBorder="1" applyAlignment="1" applyProtection="1">
      <alignment wrapText="1"/>
      <protection locked="0"/>
    </xf>
    <xf numFmtId="44" fontId="0" fillId="3" borderId="1" xfId="1" applyFont="1" applyFill="1" applyBorder="1" applyProtection="1">
      <protection locked="0"/>
    </xf>
    <xf numFmtId="44" fontId="0" fillId="2" borderId="3" xfId="1" applyFont="1" applyFill="1" applyBorder="1" applyAlignment="1" applyProtection="1">
      <alignment wrapText="1"/>
      <protection locked="0"/>
    </xf>
    <xf numFmtId="44" fontId="0" fillId="5" borderId="3" xfId="1" applyFont="1" applyFill="1" applyBorder="1" applyAlignment="1" applyProtection="1">
      <alignment wrapText="1"/>
      <protection locked="0"/>
    </xf>
    <xf numFmtId="44" fontId="0" fillId="5" borderId="1" xfId="1" applyFont="1" applyFill="1" applyBorder="1" applyAlignment="1" applyProtection="1">
      <alignment wrapText="1"/>
      <protection locked="0"/>
    </xf>
    <xf numFmtId="0" fontId="2" fillId="0" borderId="0" xfId="0" applyFont="1" applyAlignment="1">
      <alignment wrapText="1"/>
    </xf>
    <xf numFmtId="0" fontId="0" fillId="0" borderId="0" xfId="0" applyAlignment="1">
      <alignment wrapText="1"/>
    </xf>
    <xf numFmtId="0" fontId="2" fillId="3" borderId="0" xfId="0" applyFont="1" applyFill="1" applyAlignment="1">
      <alignment wrapText="1"/>
    </xf>
    <xf numFmtId="0" fontId="2" fillId="3" borderId="2" xfId="0" applyFont="1" applyFill="1" applyBorder="1" applyAlignment="1">
      <alignment wrapText="1"/>
    </xf>
    <xf numFmtId="0" fontId="2" fillId="0" borderId="2" xfId="0" applyFont="1" applyBorder="1" applyAlignment="1">
      <alignment wrapText="1"/>
    </xf>
    <xf numFmtId="0" fontId="3" fillId="4" borderId="0" xfId="0" applyFont="1" applyFill="1"/>
    <xf numFmtId="0" fontId="0" fillId="4" borderId="0" xfId="0" applyFill="1"/>
    <xf numFmtId="0" fontId="9" fillId="0" borderId="4" xfId="2" applyBorder="1" applyAlignment="1" applyProtection="1">
      <alignment wrapText="1"/>
      <protection locked="0"/>
    </xf>
    <xf numFmtId="0" fontId="9" fillId="0" borderId="0" xfId="2" applyAlignment="1" applyProtection="1">
      <alignment wrapText="1"/>
      <protection locked="0"/>
    </xf>
    <xf numFmtId="0" fontId="3" fillId="3" borderId="0" xfId="0" applyFont="1" applyFill="1" applyAlignment="1">
      <alignment wrapText="1"/>
    </xf>
    <xf numFmtId="0" fontId="0" fillId="3" borderId="0" xfId="0" applyFill="1" applyAlignment="1">
      <alignment wrapText="1"/>
    </xf>
    <xf numFmtId="0" fontId="0" fillId="3" borderId="2" xfId="0" applyFill="1" applyBorder="1" applyAlignment="1">
      <alignment wrapText="1"/>
    </xf>
    <xf numFmtId="0" fontId="3" fillId="4" borderId="0" xfId="0" applyFont="1" applyFill="1" applyAlignment="1">
      <alignment wrapText="1"/>
    </xf>
    <xf numFmtId="0" fontId="0" fillId="4" borderId="0" xfId="0" applyFill="1" applyAlignment="1">
      <alignment wrapText="1"/>
    </xf>
    <xf numFmtId="0" fontId="0" fillId="4" borderId="2" xfId="0" applyFill="1" applyBorder="1" applyAlignment="1">
      <alignment wrapText="1"/>
    </xf>
    <xf numFmtId="0" fontId="0" fillId="0" borderId="2" xfId="0" applyBorder="1" applyAlignment="1">
      <alignment wrapText="1"/>
    </xf>
    <xf numFmtId="0" fontId="7" fillId="2" borderId="0" xfId="0" applyFont="1" applyFill="1" applyAlignment="1">
      <alignment horizontal="center" vertical="center"/>
    </xf>
    <xf numFmtId="0" fontId="6" fillId="0" borderId="0" xfId="0" applyFont="1" applyAlignment="1">
      <alignment horizontal="center" vertical="center"/>
    </xf>
    <xf numFmtId="0" fontId="2" fillId="0" borderId="0" xfId="0" applyFont="1" applyAlignment="1">
      <alignment horizontal="center"/>
    </xf>
    <xf numFmtId="0" fontId="8" fillId="2" borderId="0" xfId="0" applyFont="1" applyFill="1" applyAlignment="1">
      <alignment horizontal="center" vertical="center"/>
    </xf>
    <xf numFmtId="0" fontId="0" fillId="0" borderId="0" xfId="0" applyAlignment="1">
      <alignment horizontal="center" vertical="center"/>
    </xf>
    <xf numFmtId="0" fontId="0" fillId="0" borderId="0" xfId="0" applyAlignment="1">
      <alignment horizontal="center"/>
    </xf>
  </cellXfs>
  <cellStyles count="3">
    <cellStyle name="Currency" xfId="1" builtinId="4"/>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entp.hud.gov/idapp/html/hicostlook.cf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entp.hud.gov/idapp/html/hicostlook.cf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DE9388-F19D-47FD-A857-15BAA3F776D2}">
  <sheetPr codeName="Sheet1"/>
  <dimension ref="A2:O30"/>
  <sheetViews>
    <sheetView showGridLines="0" workbookViewId="0">
      <selection activeCell="I19" sqref="I19"/>
    </sheetView>
  </sheetViews>
  <sheetFormatPr defaultRowHeight="15" x14ac:dyDescent="0.25"/>
  <cols>
    <col min="8" max="8" width="6.42578125" customWidth="1"/>
    <col min="9" max="9" width="19.42578125" customWidth="1"/>
    <col min="15" max="15" width="30.7109375" customWidth="1"/>
  </cols>
  <sheetData>
    <row r="2" spans="1:15" ht="28.5" customHeight="1" x14ac:dyDescent="0.25">
      <c r="A2" s="48" t="s">
        <v>16</v>
      </c>
      <c r="B2" s="48"/>
      <c r="C2" s="48"/>
      <c r="D2" s="48"/>
      <c r="E2" s="48"/>
      <c r="F2" s="48"/>
      <c r="G2" s="48"/>
      <c r="H2" s="48"/>
      <c r="I2" s="48"/>
    </row>
    <row r="3" spans="1:15" ht="28.5" customHeight="1" x14ac:dyDescent="0.25">
      <c r="A3" s="49" t="s">
        <v>0</v>
      </c>
      <c r="B3" s="49"/>
      <c r="C3" s="49"/>
      <c r="D3" s="49"/>
      <c r="E3" s="49"/>
      <c r="F3" s="49"/>
      <c r="G3" s="49"/>
      <c r="H3" s="49"/>
      <c r="I3" s="49"/>
    </row>
    <row r="4" spans="1:15" x14ac:dyDescent="0.25">
      <c r="B4" s="50" t="s">
        <v>1</v>
      </c>
      <c r="C4" s="50"/>
      <c r="D4" s="50"/>
      <c r="E4" s="50"/>
      <c r="F4" s="50"/>
      <c r="G4" s="50"/>
      <c r="H4" s="50"/>
      <c r="O4" s="14"/>
    </row>
    <row r="5" spans="1:15" ht="24.75" customHeight="1" x14ac:dyDescent="0.25">
      <c r="A5" s="37" t="s">
        <v>18</v>
      </c>
      <c r="B5" s="38"/>
      <c r="C5" s="38"/>
      <c r="D5" s="38"/>
      <c r="E5" s="38"/>
      <c r="F5" s="38"/>
      <c r="G5" s="38"/>
      <c r="H5" s="38"/>
      <c r="I5" s="27"/>
      <c r="J5" s="39" t="s">
        <v>17</v>
      </c>
      <c r="K5" s="40"/>
      <c r="L5" s="40"/>
      <c r="O5" s="14"/>
    </row>
    <row r="6" spans="1:15" ht="10.5" customHeight="1" x14ac:dyDescent="0.25">
      <c r="A6" s="41"/>
      <c r="B6" s="42"/>
      <c r="C6" s="42"/>
      <c r="D6" s="42"/>
      <c r="E6" s="42"/>
      <c r="F6" s="42"/>
      <c r="G6" s="42"/>
      <c r="H6" s="43"/>
      <c r="I6" s="17"/>
      <c r="J6" s="15"/>
      <c r="K6" s="16"/>
      <c r="L6" s="16"/>
      <c r="O6" s="14"/>
    </row>
    <row r="7" spans="1:15" ht="60" customHeight="1" x14ac:dyDescent="0.25">
      <c r="A7" s="44" t="s">
        <v>19</v>
      </c>
      <c r="B7" s="45"/>
      <c r="C7" s="45"/>
      <c r="D7" s="45"/>
      <c r="E7" s="45"/>
      <c r="F7" s="45"/>
      <c r="G7" s="45"/>
      <c r="H7" s="46"/>
      <c r="I7" s="26"/>
      <c r="J7" s="15"/>
      <c r="K7" s="16"/>
      <c r="L7" s="16"/>
      <c r="O7" s="14"/>
    </row>
    <row r="8" spans="1:15" ht="10.5" customHeight="1" x14ac:dyDescent="0.25">
      <c r="A8" s="18"/>
      <c r="B8" s="19"/>
      <c r="C8" s="19"/>
      <c r="D8" s="19"/>
      <c r="E8" s="19"/>
      <c r="F8" s="19"/>
      <c r="G8" s="19"/>
      <c r="H8" s="20"/>
      <c r="I8" s="17"/>
      <c r="J8" s="15"/>
      <c r="K8" s="16"/>
      <c r="L8" s="16"/>
      <c r="O8" s="14"/>
    </row>
    <row r="9" spans="1:15" ht="34.5" customHeight="1" x14ac:dyDescent="0.25">
      <c r="A9" s="44" t="s">
        <v>20</v>
      </c>
      <c r="B9" s="45"/>
      <c r="C9" s="45"/>
      <c r="D9" s="45"/>
      <c r="E9" s="45"/>
      <c r="F9" s="45"/>
      <c r="G9" s="45"/>
      <c r="H9" s="46"/>
      <c r="I9" s="21"/>
      <c r="J9" s="15"/>
      <c r="K9" s="16"/>
      <c r="L9" s="16"/>
      <c r="O9" s="14"/>
    </row>
    <row r="10" spans="1:15" ht="39.75" customHeight="1" x14ac:dyDescent="0.25">
      <c r="A10" s="32" t="s">
        <v>21</v>
      </c>
      <c r="B10" s="32"/>
      <c r="C10" s="32"/>
      <c r="D10" s="32"/>
      <c r="E10" s="32"/>
      <c r="F10" s="32"/>
      <c r="G10" s="32"/>
      <c r="H10" s="36"/>
      <c r="I10" s="13"/>
    </row>
    <row r="11" spans="1:15" ht="20.100000000000001" customHeight="1" x14ac:dyDescent="0.25">
      <c r="A11" s="32" t="s">
        <v>5</v>
      </c>
      <c r="B11" s="32"/>
      <c r="C11" s="32"/>
      <c r="D11" s="32"/>
      <c r="E11" s="32"/>
      <c r="F11" s="32"/>
      <c r="G11" s="32"/>
      <c r="H11" s="36"/>
      <c r="I11" s="12"/>
    </row>
    <row r="12" spans="1:15" ht="20.100000000000001" customHeight="1" x14ac:dyDescent="0.25">
      <c r="A12" s="32" t="s">
        <v>22</v>
      </c>
      <c r="B12" s="33"/>
      <c r="C12" s="33"/>
      <c r="D12" s="33"/>
      <c r="E12" s="33"/>
      <c r="F12" s="33"/>
      <c r="G12" s="33"/>
      <c r="H12" s="47"/>
      <c r="I12" s="12"/>
    </row>
    <row r="13" spans="1:15" ht="20.100000000000001" customHeight="1" x14ac:dyDescent="0.25">
      <c r="A13" s="32" t="s">
        <v>23</v>
      </c>
      <c r="B13" s="33"/>
      <c r="C13" s="33"/>
      <c r="D13" s="33"/>
      <c r="E13" s="33"/>
      <c r="F13" s="33"/>
      <c r="G13" s="33"/>
      <c r="H13" s="47"/>
      <c r="I13" s="12"/>
    </row>
    <row r="14" spans="1:15" ht="20.100000000000001" customHeight="1" x14ac:dyDescent="0.25">
      <c r="A14" s="32" t="s">
        <v>24</v>
      </c>
      <c r="B14" s="32"/>
      <c r="C14" s="32"/>
      <c r="D14" s="32"/>
      <c r="E14" s="32"/>
      <c r="F14" s="32"/>
      <c r="G14" s="32"/>
      <c r="H14" s="36"/>
      <c r="I14" s="12"/>
    </row>
    <row r="15" spans="1:15" ht="20.100000000000001" customHeight="1" x14ac:dyDescent="0.25">
      <c r="A15" s="32" t="s">
        <v>25</v>
      </c>
      <c r="B15" s="33"/>
      <c r="C15" s="33"/>
      <c r="D15" s="33"/>
      <c r="E15" s="33"/>
      <c r="F15" s="33"/>
      <c r="G15" s="33"/>
      <c r="H15" s="33"/>
      <c r="I15" s="12"/>
    </row>
    <row r="16" spans="1:15" ht="8.1" customHeight="1" x14ac:dyDescent="0.25">
      <c r="A16" s="33"/>
      <c r="B16" s="33"/>
      <c r="C16" s="33"/>
      <c r="D16" s="33"/>
      <c r="E16" s="33"/>
      <c r="F16" s="33"/>
      <c r="G16" s="33"/>
      <c r="H16" s="33"/>
    </row>
    <row r="17" spans="1:9" ht="20.100000000000001" customHeight="1" x14ac:dyDescent="0.25">
      <c r="A17" s="32" t="s">
        <v>26</v>
      </c>
      <c r="B17" s="32"/>
      <c r="C17" s="32"/>
      <c r="D17" s="32"/>
      <c r="E17" s="32"/>
      <c r="F17" s="32"/>
      <c r="G17" s="32"/>
      <c r="H17" s="36"/>
      <c r="I17" s="3">
        <f>ROUNDDOWN((I10+I11+I12+I13+I14+I15),0)</f>
        <v>0</v>
      </c>
    </row>
    <row r="18" spans="1:9" ht="8.1" customHeight="1" x14ac:dyDescent="0.25">
      <c r="A18" s="4"/>
      <c r="B18" s="4"/>
      <c r="C18" s="4"/>
      <c r="D18" s="4"/>
      <c r="E18" s="4"/>
      <c r="F18" s="4"/>
      <c r="G18" s="4"/>
      <c r="H18" s="4"/>
      <c r="I18" s="22"/>
    </row>
    <row r="19" spans="1:9" ht="28.5" customHeight="1" x14ac:dyDescent="0.25">
      <c r="A19" s="32" t="s">
        <v>27</v>
      </c>
      <c r="B19" s="33"/>
      <c r="C19" s="33"/>
      <c r="D19" s="33"/>
      <c r="E19" s="33"/>
      <c r="F19" s="33"/>
      <c r="G19" s="33"/>
      <c r="H19" s="33"/>
      <c r="I19" s="12"/>
    </row>
    <row r="20" spans="1:9" ht="8.1" customHeight="1" x14ac:dyDescent="0.25">
      <c r="A20" s="4"/>
      <c r="B20" s="5"/>
      <c r="C20" s="5"/>
      <c r="D20" s="5"/>
      <c r="E20" s="5"/>
      <c r="F20" s="5"/>
      <c r="G20" s="5"/>
      <c r="H20" s="5"/>
      <c r="I20" s="23"/>
    </row>
    <row r="21" spans="1:9" ht="28.5" customHeight="1" x14ac:dyDescent="0.25">
      <c r="A21" s="32" t="s">
        <v>28</v>
      </c>
      <c r="B21" s="33"/>
      <c r="C21" s="33"/>
      <c r="D21" s="33"/>
      <c r="E21" s="33"/>
      <c r="F21" s="33"/>
      <c r="G21" s="33"/>
      <c r="H21" s="33"/>
      <c r="I21" s="24">
        <f>ROUNDDOWN((I17-I19),0)</f>
        <v>0</v>
      </c>
    </row>
    <row r="22" spans="1:9" ht="8.25" customHeight="1" x14ac:dyDescent="0.25">
      <c r="A22" s="4"/>
      <c r="B22" s="5"/>
      <c r="C22" s="5"/>
      <c r="D22" s="5"/>
      <c r="E22" s="5"/>
      <c r="F22" s="5"/>
      <c r="G22" s="5"/>
      <c r="H22" s="5"/>
      <c r="I22" s="25"/>
    </row>
    <row r="23" spans="1:9" ht="20.100000000000001" customHeight="1" x14ac:dyDescent="0.25">
      <c r="A23" s="44" t="s">
        <v>30</v>
      </c>
      <c r="B23" s="44"/>
      <c r="C23" s="44"/>
      <c r="D23" s="44"/>
      <c r="E23" s="44"/>
      <c r="F23" s="44"/>
      <c r="G23" s="44"/>
      <c r="H23" s="44"/>
      <c r="I23" s="44"/>
    </row>
    <row r="24" spans="1:9" ht="20.100000000000001" customHeight="1" x14ac:dyDescent="0.25">
      <c r="A24" s="32" t="s">
        <v>31</v>
      </c>
      <c r="B24" s="32"/>
      <c r="C24" s="32"/>
      <c r="D24" s="32"/>
      <c r="E24" s="32"/>
      <c r="F24" s="32"/>
      <c r="G24" s="32"/>
      <c r="H24" s="36"/>
      <c r="I24" s="7">
        <f>MIN(I5,I7,I21)</f>
        <v>0</v>
      </c>
    </row>
    <row r="25" spans="1:9" ht="6.75" customHeight="1" x14ac:dyDescent="0.25">
      <c r="A25" s="34"/>
      <c r="B25" s="34"/>
      <c r="C25" s="34"/>
      <c r="D25" s="34"/>
      <c r="E25" s="34"/>
      <c r="F25" s="34"/>
      <c r="G25" s="34"/>
      <c r="H25" s="35"/>
      <c r="I25" s="28"/>
    </row>
    <row r="26" spans="1:9" ht="20.100000000000001" customHeight="1" x14ac:dyDescent="0.25">
      <c r="A26" s="10"/>
      <c r="B26" s="32" t="s">
        <v>12</v>
      </c>
      <c r="C26" s="32"/>
      <c r="D26" s="32"/>
      <c r="E26" s="32"/>
      <c r="F26" s="32"/>
      <c r="G26" s="32"/>
      <c r="H26" s="36"/>
      <c r="I26" s="9">
        <f>(I24)*0.0175</f>
        <v>0</v>
      </c>
    </row>
    <row r="27" spans="1:9" ht="20.100000000000001" customHeight="1" x14ac:dyDescent="0.25">
      <c r="A27" s="32" t="s">
        <v>14</v>
      </c>
      <c r="B27" s="32"/>
      <c r="C27" s="32"/>
      <c r="D27" s="32"/>
      <c r="E27" s="32"/>
      <c r="F27" s="32"/>
      <c r="G27" s="32"/>
      <c r="H27" s="36"/>
      <c r="I27" s="7">
        <f>ROUNDDOWN((I24+I26),0)</f>
        <v>0</v>
      </c>
    </row>
    <row r="28" spans="1:9" ht="20.100000000000001" customHeight="1" x14ac:dyDescent="0.25"/>
    <row r="29" spans="1:9" ht="20.100000000000001" customHeight="1" x14ac:dyDescent="0.25"/>
    <row r="30" spans="1:9" x14ac:dyDescent="0.25">
      <c r="A30" s="11" t="s">
        <v>15</v>
      </c>
    </row>
  </sheetData>
  <sheetProtection algorithmName="SHA-512" hashValue="tOJfwFhhqY59HEzMoGeE82dJHw8TV3FgOAmTowG1BdBAQzHSDyKbqImiRBLvvbhVQG14a5nrqXsSQ2DmmKNIyw==" saltValue="UwIIvEn/MTx8HBTdyrkuGw==" spinCount="100000" sheet="1" objects="1" scenarios="1" selectLockedCells="1"/>
  <mergeCells count="23">
    <mergeCell ref="A2:I2"/>
    <mergeCell ref="A3:I3"/>
    <mergeCell ref="B4:H4"/>
    <mergeCell ref="A10:H10"/>
    <mergeCell ref="A11:H11"/>
    <mergeCell ref="J5:L5"/>
    <mergeCell ref="A6:H6"/>
    <mergeCell ref="A7:H7"/>
    <mergeCell ref="A9:H9"/>
    <mergeCell ref="A12:H12"/>
    <mergeCell ref="A21:H21"/>
    <mergeCell ref="A25:H25"/>
    <mergeCell ref="B26:H26"/>
    <mergeCell ref="A27:H27"/>
    <mergeCell ref="A5:H5"/>
    <mergeCell ref="A14:H14"/>
    <mergeCell ref="A16:H16"/>
    <mergeCell ref="A17:H17"/>
    <mergeCell ref="A23:I23"/>
    <mergeCell ref="A24:H24"/>
    <mergeCell ref="A13:H13"/>
    <mergeCell ref="A15:H15"/>
    <mergeCell ref="A19:H19"/>
  </mergeCells>
  <hyperlinks>
    <hyperlink ref="J5:L5" r:id="rId1" display="FHA  Mortgage Limit Search " xr:uid="{59AC8251-A678-4522-8BB6-701E2C90334B}"/>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C24D98-1405-4402-AEE7-8383FEFA8B8D}">
  <sheetPr codeName="Sheet2"/>
  <dimension ref="A1:N23"/>
  <sheetViews>
    <sheetView showGridLines="0" tabSelected="1" workbookViewId="0">
      <selection activeCell="I17" sqref="I17"/>
    </sheetView>
  </sheetViews>
  <sheetFormatPr defaultRowHeight="15" x14ac:dyDescent="0.25"/>
  <cols>
    <col min="8" max="8" width="11.28515625" customWidth="1"/>
    <col min="9" max="9" width="13.85546875" customWidth="1"/>
    <col min="10" max="10" width="9.28515625" customWidth="1"/>
  </cols>
  <sheetData>
    <row r="1" spans="1:14" ht="24.95" customHeight="1" x14ac:dyDescent="0.25"/>
    <row r="2" spans="1:14" ht="39.950000000000003" customHeight="1" x14ac:dyDescent="0.25">
      <c r="A2" s="48" t="s">
        <v>4</v>
      </c>
      <c r="B2" s="51"/>
      <c r="C2" s="51"/>
      <c r="D2" s="51"/>
      <c r="E2" s="51"/>
      <c r="F2" s="51"/>
      <c r="G2" s="51"/>
      <c r="H2" s="51"/>
      <c r="I2" s="51"/>
    </row>
    <row r="3" spans="1:14" ht="30" customHeight="1" x14ac:dyDescent="0.3">
      <c r="A3" s="49" t="s">
        <v>0</v>
      </c>
      <c r="B3" s="52"/>
      <c r="C3" s="52"/>
      <c r="D3" s="52"/>
      <c r="E3" s="52"/>
      <c r="F3" s="52"/>
      <c r="G3" s="52"/>
      <c r="H3" s="52"/>
      <c r="I3" s="52"/>
      <c r="L3" s="1"/>
      <c r="N3" s="2"/>
    </row>
    <row r="4" spans="1:14" ht="20.100000000000001" customHeight="1" x14ac:dyDescent="0.25">
      <c r="B4" s="50" t="s">
        <v>1</v>
      </c>
      <c r="C4" s="53"/>
      <c r="D4" s="53"/>
      <c r="E4" s="53"/>
      <c r="F4" s="53"/>
      <c r="G4" s="53"/>
      <c r="H4" s="53"/>
    </row>
    <row r="5" spans="1:14" ht="28.5" customHeight="1" x14ac:dyDescent="0.25">
      <c r="A5" s="44" t="s">
        <v>7</v>
      </c>
      <c r="B5" s="45"/>
      <c r="C5" s="45"/>
      <c r="D5" s="45"/>
      <c r="E5" s="45"/>
      <c r="F5" s="45"/>
      <c r="G5" s="45"/>
      <c r="H5" s="45"/>
      <c r="I5" s="46"/>
    </row>
    <row r="6" spans="1:14" ht="36.75" customHeight="1" x14ac:dyDescent="0.25">
      <c r="A6" s="32" t="s">
        <v>2</v>
      </c>
      <c r="B6" s="33"/>
      <c r="C6" s="33"/>
      <c r="D6" s="33"/>
      <c r="E6" s="33"/>
      <c r="F6" s="33"/>
      <c r="G6" s="33"/>
      <c r="H6" s="47"/>
      <c r="I6" s="12"/>
    </row>
    <row r="7" spans="1:14" ht="20.100000000000001" customHeight="1" x14ac:dyDescent="0.25">
      <c r="A7" s="32" t="s">
        <v>5</v>
      </c>
      <c r="B7" s="33"/>
      <c r="C7" s="33"/>
      <c r="D7" s="33"/>
      <c r="E7" s="33"/>
      <c r="F7" s="33"/>
      <c r="G7" s="33"/>
      <c r="H7" s="47"/>
      <c r="I7" s="12"/>
    </row>
    <row r="8" spans="1:14" ht="20.100000000000001" customHeight="1" x14ac:dyDescent="0.25">
      <c r="A8" s="32" t="s">
        <v>3</v>
      </c>
      <c r="B8" s="33"/>
      <c r="C8" s="33"/>
      <c r="D8" s="33"/>
      <c r="E8" s="33"/>
      <c r="F8" s="33"/>
      <c r="G8" s="33"/>
      <c r="H8" s="47"/>
      <c r="I8" s="12"/>
    </row>
    <row r="9" spans="1:14" ht="5.0999999999999996" customHeight="1" x14ac:dyDescent="0.25">
      <c r="A9" s="33"/>
      <c r="B9" s="33"/>
      <c r="C9" s="33"/>
      <c r="D9" s="33"/>
      <c r="E9" s="33"/>
      <c r="F9" s="33"/>
      <c r="G9" s="33"/>
      <c r="H9" s="33"/>
    </row>
    <row r="10" spans="1:14" ht="20.100000000000001" customHeight="1" x14ac:dyDescent="0.25">
      <c r="A10" s="32" t="s">
        <v>13</v>
      </c>
      <c r="B10" s="33"/>
      <c r="C10" s="33"/>
      <c r="D10" s="33"/>
      <c r="E10" s="33"/>
      <c r="F10" s="33"/>
      <c r="G10" s="33"/>
      <c r="H10" s="33"/>
      <c r="I10" s="3">
        <f>ROUNDDOWN((I6+I7+I8),0)</f>
        <v>0</v>
      </c>
    </row>
    <row r="11" spans="1:14" ht="5.0999999999999996" customHeight="1" x14ac:dyDescent="0.25"/>
    <row r="12" spans="1:14" ht="28.5" customHeight="1" x14ac:dyDescent="0.25">
      <c r="A12" s="44" t="s">
        <v>6</v>
      </c>
      <c r="B12" s="45"/>
      <c r="C12" s="45"/>
      <c r="D12" s="45"/>
      <c r="E12" s="45"/>
      <c r="F12" s="45"/>
      <c r="G12" s="45"/>
      <c r="H12" s="45"/>
      <c r="I12" s="12"/>
    </row>
    <row r="13" spans="1:14" ht="20.100000000000001" customHeight="1" x14ac:dyDescent="0.25">
      <c r="I13" s="3">
        <f>I12</f>
        <v>0</v>
      </c>
    </row>
    <row r="14" spans="1:14" ht="3.75" customHeight="1" x14ac:dyDescent="0.25"/>
    <row r="15" spans="1:14" ht="28.5" customHeight="1" x14ac:dyDescent="0.25">
      <c r="A15" s="44" t="s">
        <v>8</v>
      </c>
      <c r="B15" s="45"/>
      <c r="C15" s="45"/>
      <c r="D15" s="45"/>
      <c r="E15" s="45"/>
      <c r="F15" s="45"/>
      <c r="G15" s="45"/>
      <c r="H15" s="45"/>
      <c r="I15" s="45"/>
    </row>
    <row r="16" spans="1:14" ht="20.100000000000001" customHeight="1" x14ac:dyDescent="0.25">
      <c r="A16" s="32" t="s">
        <v>29</v>
      </c>
      <c r="B16" s="32"/>
      <c r="C16" s="32"/>
      <c r="D16" s="32"/>
      <c r="E16" s="32"/>
      <c r="F16" s="32"/>
      <c r="G16" s="32"/>
      <c r="H16" s="32"/>
      <c r="I16" s="7">
        <f>MIN(I10,I13)</f>
        <v>0</v>
      </c>
    </row>
    <row r="17" spans="1:13" ht="31.5" customHeight="1" x14ac:dyDescent="0.25">
      <c r="A17" s="32" t="s">
        <v>11</v>
      </c>
      <c r="B17" s="32"/>
      <c r="C17" s="32"/>
      <c r="D17" s="32"/>
      <c r="E17" s="32"/>
      <c r="F17" s="32"/>
      <c r="G17" s="32"/>
      <c r="H17" s="32"/>
      <c r="I17" s="12"/>
    </row>
    <row r="18" spans="1:13" ht="20.100000000000001" customHeight="1" x14ac:dyDescent="0.25">
      <c r="A18" s="32" t="s">
        <v>10</v>
      </c>
      <c r="B18" s="32"/>
      <c r="C18" s="32"/>
      <c r="D18" s="32"/>
      <c r="E18" s="32"/>
      <c r="F18" s="32"/>
      <c r="G18" s="32"/>
      <c r="H18" s="32"/>
      <c r="I18" s="3">
        <f>ROUNDDOWN((I16-I17),0)</f>
        <v>0</v>
      </c>
    </row>
    <row r="19" spans="1:13" ht="20.100000000000001" customHeight="1" x14ac:dyDescent="0.25">
      <c r="A19" s="10"/>
      <c r="B19" s="32" t="s">
        <v>12</v>
      </c>
      <c r="C19" s="32"/>
      <c r="D19" s="32"/>
      <c r="E19" s="32"/>
      <c r="F19" s="32"/>
      <c r="G19" s="32"/>
      <c r="H19" s="32"/>
      <c r="I19" s="9">
        <f>ROUNDDOWN((I18*0.0175),3)</f>
        <v>0</v>
      </c>
      <c r="M19" s="8"/>
    </row>
    <row r="20" spans="1:13" ht="20.100000000000001" customHeight="1" x14ac:dyDescent="0.25">
      <c r="A20" s="32" t="s">
        <v>14</v>
      </c>
      <c r="B20" s="32"/>
      <c r="C20" s="32"/>
      <c r="D20" s="32"/>
      <c r="E20" s="32"/>
      <c r="F20" s="32"/>
      <c r="G20" s="32"/>
      <c r="H20" s="32"/>
      <c r="I20" s="7">
        <f>ROUNDDOWN((I18+I19),0)</f>
        <v>0</v>
      </c>
      <c r="K20" s="6">
        <v>0</v>
      </c>
    </row>
    <row r="21" spans="1:13" ht="20.100000000000001" customHeight="1" x14ac:dyDescent="0.25"/>
    <row r="22" spans="1:13" x14ac:dyDescent="0.25">
      <c r="J22" s="6"/>
    </row>
    <row r="23" spans="1:13" x14ac:dyDescent="0.25">
      <c r="A23" s="11" t="s">
        <v>15</v>
      </c>
    </row>
  </sheetData>
  <sheetProtection algorithmName="SHA-512" hashValue="CO7eHs+lcm460Z/wIo85z4t4Po23EPs2AXB2/9Ek2q8nCGGogSgVDOSasmCYIgyAFJD+SOk+avdzdfGscqCFVw==" saltValue="Pc3feKKBtic8gDQxaf/toQ==" spinCount="100000" sheet="1" objects="1" scenarios="1" selectLockedCells="1"/>
  <mergeCells count="16">
    <mergeCell ref="B19:H19"/>
    <mergeCell ref="A20:H20"/>
    <mergeCell ref="A2:I2"/>
    <mergeCell ref="A3:I3"/>
    <mergeCell ref="A5:I5"/>
    <mergeCell ref="B4:H4"/>
    <mergeCell ref="A6:H6"/>
    <mergeCell ref="A7:H7"/>
    <mergeCell ref="A8:H8"/>
    <mergeCell ref="A9:H9"/>
    <mergeCell ref="A10:H10"/>
    <mergeCell ref="A12:H12"/>
    <mergeCell ref="A15:I15"/>
    <mergeCell ref="A16:H16"/>
    <mergeCell ref="A17:H17"/>
    <mergeCell ref="A18:H18"/>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32114-9676-4F28-8110-4CC686CFFD4B}">
  <sheetPr codeName="Sheet3"/>
  <dimension ref="A2:L31"/>
  <sheetViews>
    <sheetView showGridLines="0" workbookViewId="0">
      <selection activeCell="I17" sqref="I17"/>
    </sheetView>
  </sheetViews>
  <sheetFormatPr defaultRowHeight="15" x14ac:dyDescent="0.25"/>
  <cols>
    <col min="9" max="9" width="14" customWidth="1"/>
  </cols>
  <sheetData>
    <row r="2" spans="1:12" ht="32.25" customHeight="1" x14ac:dyDescent="0.25">
      <c r="A2" s="48" t="s">
        <v>32</v>
      </c>
      <c r="B2" s="48"/>
      <c r="C2" s="48"/>
      <c r="D2" s="48"/>
      <c r="E2" s="48"/>
      <c r="F2" s="48"/>
      <c r="G2" s="48"/>
      <c r="H2" s="48"/>
      <c r="I2" s="48"/>
    </row>
    <row r="3" spans="1:12" ht="23.25" x14ac:dyDescent="0.25">
      <c r="A3" s="49" t="s">
        <v>0</v>
      </c>
      <c r="B3" s="49"/>
      <c r="C3" s="49"/>
      <c r="D3" s="49"/>
      <c r="E3" s="49"/>
      <c r="F3" s="49"/>
      <c r="G3" s="49"/>
      <c r="H3" s="49"/>
      <c r="I3" s="49"/>
    </row>
    <row r="4" spans="1:12" x14ac:dyDescent="0.25">
      <c r="B4" s="50" t="s">
        <v>1</v>
      </c>
      <c r="C4" s="50"/>
      <c r="D4" s="50"/>
      <c r="E4" s="50"/>
      <c r="F4" s="50"/>
      <c r="G4" s="50"/>
      <c r="H4" s="50"/>
    </row>
    <row r="5" spans="1:12" ht="20.100000000000001" customHeight="1" x14ac:dyDescent="0.25">
      <c r="A5" s="37" t="s">
        <v>18</v>
      </c>
      <c r="B5" s="38"/>
      <c r="C5" s="38"/>
      <c r="D5" s="38"/>
      <c r="E5" s="38"/>
      <c r="F5" s="38"/>
      <c r="G5" s="38"/>
      <c r="H5" s="38"/>
      <c r="I5" s="31"/>
      <c r="J5" s="39" t="s">
        <v>17</v>
      </c>
      <c r="K5" s="40"/>
      <c r="L5" s="40"/>
    </row>
    <row r="6" spans="1:12" x14ac:dyDescent="0.25">
      <c r="A6" s="41"/>
      <c r="B6" s="42"/>
      <c r="C6" s="42"/>
      <c r="D6" s="42"/>
      <c r="E6" s="42"/>
      <c r="F6" s="42"/>
      <c r="G6" s="42"/>
      <c r="H6" s="43"/>
      <c r="I6" s="17"/>
      <c r="J6" s="15"/>
      <c r="K6" s="16"/>
      <c r="L6" s="16"/>
    </row>
    <row r="7" spans="1:12" ht="76.5" customHeight="1" x14ac:dyDescent="0.25">
      <c r="A7" s="44" t="s">
        <v>37</v>
      </c>
      <c r="B7" s="45"/>
      <c r="C7" s="45"/>
      <c r="D7" s="45"/>
      <c r="E7" s="45"/>
      <c r="F7" s="45"/>
      <c r="G7" s="45"/>
      <c r="H7" s="45"/>
      <c r="I7" s="47"/>
      <c r="J7" s="15"/>
      <c r="K7" s="16"/>
      <c r="L7" s="16"/>
    </row>
    <row r="8" spans="1:12" x14ac:dyDescent="0.25">
      <c r="A8" s="34" t="s">
        <v>33</v>
      </c>
      <c r="B8" s="32"/>
      <c r="C8" s="32"/>
      <c r="D8" s="32"/>
      <c r="E8" s="32"/>
      <c r="F8" s="32"/>
      <c r="G8" s="32"/>
      <c r="H8" s="36"/>
      <c r="I8" s="30"/>
      <c r="J8" s="15"/>
      <c r="K8" s="16"/>
      <c r="L8" s="16"/>
    </row>
    <row r="9" spans="1:12" x14ac:dyDescent="0.25">
      <c r="A9" s="34" t="s">
        <v>34</v>
      </c>
      <c r="B9" s="33"/>
      <c r="C9" s="33"/>
      <c r="D9" s="33"/>
      <c r="E9" s="33"/>
      <c r="F9" s="33"/>
      <c r="G9" s="33"/>
      <c r="H9" s="47"/>
      <c r="I9" s="29">
        <f>I8*0.9775</f>
        <v>0</v>
      </c>
      <c r="J9" s="15"/>
      <c r="K9" s="16"/>
      <c r="L9" s="16"/>
    </row>
    <row r="10" spans="1:12" ht="6.75" customHeight="1" x14ac:dyDescent="0.25">
      <c r="A10" s="41"/>
      <c r="B10" s="33"/>
      <c r="C10" s="33"/>
      <c r="D10" s="33"/>
      <c r="E10" s="33"/>
      <c r="F10" s="33"/>
      <c r="G10" s="33"/>
      <c r="H10" s="47"/>
      <c r="I10" s="17"/>
      <c r="J10" s="15"/>
      <c r="K10" s="16"/>
      <c r="L10" s="16"/>
    </row>
    <row r="11" spans="1:12" ht="36" customHeight="1" x14ac:dyDescent="0.25">
      <c r="A11" s="44" t="s">
        <v>35</v>
      </c>
      <c r="B11" s="45"/>
      <c r="C11" s="45"/>
      <c r="D11" s="45"/>
      <c r="E11" s="45"/>
      <c r="F11" s="45"/>
      <c r="G11" s="45"/>
      <c r="H11" s="46"/>
      <c r="I11" s="21"/>
      <c r="J11" s="15"/>
      <c r="K11" s="16"/>
      <c r="L11" s="16"/>
    </row>
    <row r="12" spans="1:12" ht="31.5" customHeight="1" x14ac:dyDescent="0.25">
      <c r="A12" s="32" t="s">
        <v>36</v>
      </c>
      <c r="B12" s="32"/>
      <c r="C12" s="32"/>
      <c r="D12" s="32"/>
      <c r="E12" s="32"/>
      <c r="F12" s="32"/>
      <c r="G12" s="32"/>
      <c r="H12" s="36"/>
      <c r="I12" s="13"/>
    </row>
    <row r="13" spans="1:12" ht="104.25" customHeight="1" x14ac:dyDescent="0.25">
      <c r="A13" s="32" t="s">
        <v>38</v>
      </c>
      <c r="B13" s="33"/>
      <c r="C13" s="33"/>
      <c r="D13" s="33"/>
      <c r="E13" s="33"/>
      <c r="F13" s="33"/>
      <c r="G13" s="33"/>
      <c r="H13" s="47"/>
      <c r="I13" s="12"/>
    </row>
    <row r="14" spans="1:12" ht="34.5" customHeight="1" x14ac:dyDescent="0.25">
      <c r="A14" s="32" t="s">
        <v>39</v>
      </c>
      <c r="B14" s="33"/>
      <c r="C14" s="33"/>
      <c r="D14" s="33"/>
      <c r="E14" s="33"/>
      <c r="F14" s="33"/>
      <c r="G14" s="33"/>
      <c r="H14" s="47"/>
      <c r="I14" s="13"/>
    </row>
    <row r="15" spans="1:12" ht="20.100000000000001" customHeight="1" x14ac:dyDescent="0.25">
      <c r="A15" s="32" t="s">
        <v>40</v>
      </c>
      <c r="B15" s="32"/>
      <c r="C15" s="32"/>
      <c r="D15" s="32"/>
      <c r="E15" s="32"/>
      <c r="F15" s="32"/>
      <c r="G15" s="32"/>
      <c r="H15" s="36"/>
      <c r="I15" s="12"/>
    </row>
    <row r="16" spans="1:12" ht="20.100000000000001" customHeight="1" x14ac:dyDescent="0.25">
      <c r="A16" s="32" t="s">
        <v>22</v>
      </c>
      <c r="B16" s="33"/>
      <c r="C16" s="33"/>
      <c r="D16" s="33"/>
      <c r="E16" s="33"/>
      <c r="F16" s="33"/>
      <c r="G16" s="33"/>
      <c r="H16" s="47"/>
      <c r="I16" s="12"/>
    </row>
    <row r="17" spans="1:9" ht="20.100000000000001" customHeight="1" x14ac:dyDescent="0.25">
      <c r="A17" s="32" t="s">
        <v>23</v>
      </c>
      <c r="B17" s="33"/>
      <c r="C17" s="33"/>
      <c r="D17" s="33"/>
      <c r="E17" s="33"/>
      <c r="F17" s="33"/>
      <c r="G17" s="33"/>
      <c r="H17" s="47"/>
      <c r="I17" s="12"/>
    </row>
    <row r="18" spans="1:9" ht="20.100000000000001" customHeight="1" x14ac:dyDescent="0.25">
      <c r="A18" s="32" t="s">
        <v>24</v>
      </c>
      <c r="B18" s="32"/>
      <c r="C18" s="32"/>
      <c r="D18" s="32"/>
      <c r="E18" s="32"/>
      <c r="F18" s="32"/>
      <c r="G18" s="32"/>
      <c r="H18" s="36"/>
      <c r="I18" s="12"/>
    </row>
    <row r="19" spans="1:9" ht="20.100000000000001" customHeight="1" x14ac:dyDescent="0.25">
      <c r="A19" s="32" t="s">
        <v>25</v>
      </c>
      <c r="B19" s="33"/>
      <c r="C19" s="33"/>
      <c r="D19" s="33"/>
      <c r="E19" s="33"/>
      <c r="F19" s="33"/>
      <c r="G19" s="33"/>
      <c r="H19" s="33"/>
      <c r="I19" s="12"/>
    </row>
    <row r="20" spans="1:9" ht="3.75" customHeight="1" x14ac:dyDescent="0.25">
      <c r="A20" s="33"/>
      <c r="B20" s="33"/>
      <c r="C20" s="33"/>
      <c r="D20" s="33"/>
      <c r="E20" s="33"/>
      <c r="F20" s="33"/>
      <c r="G20" s="33"/>
      <c r="H20" s="33"/>
    </row>
    <row r="21" spans="1:9" ht="20.100000000000001" customHeight="1" x14ac:dyDescent="0.25">
      <c r="A21" s="32" t="s">
        <v>41</v>
      </c>
      <c r="B21" s="32"/>
      <c r="C21" s="32"/>
      <c r="D21" s="32"/>
      <c r="E21" s="32"/>
      <c r="F21" s="32"/>
      <c r="G21" s="32"/>
      <c r="H21" s="36"/>
      <c r="I21" s="3">
        <f>ROUNDDOWN((I12+I13+I14+I15+I16+I17+I18+I19),0)</f>
        <v>0</v>
      </c>
    </row>
    <row r="22" spans="1:9" ht="6" customHeight="1" x14ac:dyDescent="0.25">
      <c r="A22" s="4"/>
      <c r="B22" s="4"/>
      <c r="C22" s="4"/>
      <c r="D22" s="4"/>
      <c r="E22" s="4"/>
      <c r="F22" s="4"/>
      <c r="G22" s="4"/>
      <c r="H22" s="4"/>
      <c r="I22" s="22"/>
    </row>
    <row r="23" spans="1:9" x14ac:dyDescent="0.25">
      <c r="A23" s="44" t="s">
        <v>44</v>
      </c>
      <c r="B23" s="44"/>
      <c r="C23" s="44"/>
      <c r="D23" s="44"/>
      <c r="E23" s="44"/>
      <c r="F23" s="44"/>
      <c r="G23" s="44"/>
      <c r="H23" s="44"/>
      <c r="I23" s="44"/>
    </row>
    <row r="24" spans="1:9" x14ac:dyDescent="0.25">
      <c r="A24" s="32" t="s">
        <v>42</v>
      </c>
      <c r="B24" s="32"/>
      <c r="C24" s="32"/>
      <c r="D24" s="32"/>
      <c r="E24" s="32"/>
      <c r="F24" s="32"/>
      <c r="G24" s="32"/>
      <c r="H24" s="36"/>
      <c r="I24" s="7">
        <f>MIN(I5,I9,I21)</f>
        <v>0</v>
      </c>
    </row>
    <row r="25" spans="1:9" ht="15.75" customHeight="1" x14ac:dyDescent="0.25">
      <c r="A25" s="34" t="s">
        <v>43</v>
      </c>
      <c r="B25" s="34"/>
      <c r="C25" s="34"/>
      <c r="D25" s="34"/>
      <c r="E25" s="34"/>
      <c r="F25" s="34"/>
      <c r="G25" s="34"/>
      <c r="H25" s="35"/>
      <c r="I25" s="12"/>
    </row>
    <row r="26" spans="1:9" ht="15.75" customHeight="1" x14ac:dyDescent="0.25">
      <c r="A26" s="34" t="s">
        <v>9</v>
      </c>
      <c r="B26" s="33"/>
      <c r="C26" s="33"/>
      <c r="D26" s="33"/>
      <c r="E26" s="33"/>
      <c r="F26" s="33"/>
      <c r="G26" s="33"/>
      <c r="H26" s="47"/>
      <c r="I26" s="24">
        <f>ROUNDDOWN((I24-I25),0)</f>
        <v>0</v>
      </c>
    </row>
    <row r="27" spans="1:9" ht="16.5" customHeight="1" x14ac:dyDescent="0.25">
      <c r="A27" s="10"/>
      <c r="B27" s="32" t="s">
        <v>12</v>
      </c>
      <c r="C27" s="32"/>
      <c r="D27" s="32"/>
      <c r="E27" s="32"/>
      <c r="F27" s="32"/>
      <c r="G27" s="32"/>
      <c r="H27" s="36"/>
      <c r="I27" s="9">
        <f>I26*(0.0175)</f>
        <v>0</v>
      </c>
    </row>
    <row r="28" spans="1:9" x14ac:dyDescent="0.25">
      <c r="A28" s="32" t="s">
        <v>14</v>
      </c>
      <c r="B28" s="32"/>
      <c r="C28" s="32"/>
      <c r="D28" s="32"/>
      <c r="E28" s="32"/>
      <c r="F28" s="32"/>
      <c r="G28" s="32"/>
      <c r="H28" s="36"/>
      <c r="I28" s="7">
        <f>ROUNDDOWN((I26+I27),0)</f>
        <v>0</v>
      </c>
    </row>
    <row r="30" spans="1:9" x14ac:dyDescent="0.25">
      <c r="A30" t="s">
        <v>15</v>
      </c>
    </row>
    <row r="31" spans="1:9" x14ac:dyDescent="0.25">
      <c r="A31" s="11"/>
    </row>
  </sheetData>
  <sheetProtection algorithmName="SHA-512" hashValue="Ji6ThVMwTwbxNOZ4eYOBluLo2ltMxzbew+Dohj64U6U/Cx8Io0iZpUqd72Y7g6bYjVZtISV/IMvENo35Jp4daA==" saltValue="1SmyXCtltNN8QvIIIqoM6Q==" spinCount="100000" sheet="1" objects="1" scenarios="1" selectLockedCells="1"/>
  <mergeCells count="27">
    <mergeCell ref="A19:H19"/>
    <mergeCell ref="A20:H20"/>
    <mergeCell ref="A21:H21"/>
    <mergeCell ref="A28:H28"/>
    <mergeCell ref="A12:H12"/>
    <mergeCell ref="A15:H15"/>
    <mergeCell ref="A16:H16"/>
    <mergeCell ref="A17:H17"/>
    <mergeCell ref="A18:H18"/>
    <mergeCell ref="A13:H13"/>
    <mergeCell ref="A14:H14"/>
    <mergeCell ref="A25:H25"/>
    <mergeCell ref="A26:H26"/>
    <mergeCell ref="A23:I23"/>
    <mergeCell ref="A24:H24"/>
    <mergeCell ref="B27:H27"/>
    <mergeCell ref="A2:I2"/>
    <mergeCell ref="B4:H4"/>
    <mergeCell ref="A5:H5"/>
    <mergeCell ref="J5:L5"/>
    <mergeCell ref="A11:H11"/>
    <mergeCell ref="A9:H9"/>
    <mergeCell ref="A10:H10"/>
    <mergeCell ref="A7:I7"/>
    <mergeCell ref="A8:H8"/>
    <mergeCell ref="A3:I3"/>
    <mergeCell ref="A6:H6"/>
  </mergeCells>
  <hyperlinks>
    <hyperlink ref="J5:L5" r:id="rId1" display="FHA  Mortgage Limit Search " xr:uid="{BE8DFC5E-0087-4D9D-A8D0-A4FC9B0F8EF3}"/>
  </hyperlinks>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Simple</vt:lpstr>
      <vt:lpstr> Streamline (Owner-Occupied)</vt:lpstr>
      <vt:lpstr>R&amp;T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Perry, Rocco</dc:creator>
  <cp:lastModifiedBy>Reva Haskin</cp:lastModifiedBy>
  <cp:lastPrinted>2020-05-19T12:52:00Z</cp:lastPrinted>
  <dcterms:created xsi:type="dcterms:W3CDTF">2020-05-18T19:42:15Z</dcterms:created>
  <dcterms:modified xsi:type="dcterms:W3CDTF">2024-08-12T13:52:30Z</dcterms:modified>
</cp:coreProperties>
</file>