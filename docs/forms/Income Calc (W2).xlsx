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EnvoyServer\Grand\Forms (RH)\"/>
    </mc:Choice>
  </mc:AlternateContent>
  <xr:revisionPtr revIDLastSave="0" documentId="13_ncr:1_{09067D3D-573C-4200-AEAB-FB9AB4EEDC02}" xr6:coauthVersionLast="47" xr6:coauthVersionMax="47" xr10:uidLastSave="{00000000-0000-0000-0000-000000000000}"/>
  <bookViews>
    <workbookView xWindow="-120" yWindow="-120" windowWidth="29040" windowHeight="15720" xr2:uid="{00000000-000D-0000-FFFF-FFFF00000000}"/>
  </bookViews>
  <sheets>
    <sheet name="Income Calculation Worksheet" sheetId="2" r:id="rId1"/>
  </sheets>
  <definedNames>
    <definedName name="_xlnm._FilterDatabase" localSheetId="0" hidden="1">'Income Calculation Worksheet'!$O$87:$O$89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87" i="2" l="1"/>
  <c r="I88" i="2" s="1"/>
  <c r="I86" i="2"/>
  <c r="C89" i="2"/>
  <c r="C87" i="2"/>
  <c r="C96" i="2"/>
  <c r="F96" i="2" s="1"/>
  <c r="F95" i="2"/>
  <c r="F86" i="2"/>
  <c r="I89" i="2" l="1"/>
  <c r="I91" i="2" s="1"/>
  <c r="F97" i="2"/>
  <c r="C98" i="2" s="1"/>
  <c r="F87" i="2"/>
  <c r="F88" i="2" s="1"/>
  <c r="C34" i="2" l="1"/>
  <c r="J80" i="2" l="1"/>
  <c r="C78" i="2"/>
  <c r="C77" i="2"/>
  <c r="J74" i="2"/>
  <c r="J73" i="2"/>
  <c r="J72" i="2"/>
  <c r="C76" i="2" s="1"/>
  <c r="J67" i="2"/>
  <c r="K64" i="2"/>
  <c r="K63" i="2"/>
  <c r="C63" i="2"/>
  <c r="C62" i="2"/>
  <c r="I59" i="2"/>
  <c r="C59" i="2"/>
  <c r="I58" i="2"/>
  <c r="C58" i="2"/>
  <c r="I57" i="2"/>
  <c r="C61" i="2" s="1"/>
  <c r="J47" i="2"/>
  <c r="C45" i="2"/>
  <c r="C44" i="2"/>
  <c r="J41" i="2"/>
  <c r="J40" i="2"/>
  <c r="J39" i="2"/>
  <c r="C43" i="2" s="1"/>
  <c r="J32" i="2"/>
  <c r="J31" i="2"/>
  <c r="J30" i="2"/>
  <c r="J28" i="2"/>
  <c r="J27" i="2"/>
  <c r="J26" i="2"/>
  <c r="J25" i="2"/>
  <c r="J20" i="2"/>
  <c r="C18" i="2"/>
  <c r="C17" i="2"/>
  <c r="J13" i="2"/>
  <c r="J12" i="2"/>
  <c r="J11" i="2"/>
  <c r="C16" i="2" s="1"/>
  <c r="J10" i="2"/>
  <c r="C15" i="2" s="1"/>
  <c r="J5" i="2"/>
  <c r="K65" i="2" l="1"/>
  <c r="I52" i="2" s="1"/>
  <c r="C57" i="2" s="1"/>
  <c r="C67" i="2"/>
  <c r="K67" i="2" s="1"/>
  <c r="C47" i="2"/>
  <c r="K47" i="2" s="1"/>
  <c r="C20" i="2"/>
  <c r="K20" i="2" s="1"/>
  <c r="C80" i="2"/>
  <c r="K80" i="2" s="1"/>
  <c r="D100" i="2" l="1"/>
</calcChain>
</file>

<file path=xl/sharedStrings.xml><?xml version="1.0" encoding="utf-8"?>
<sst xmlns="http://schemas.openxmlformats.org/spreadsheetml/2006/main" count="157" uniqueCount="97">
  <si>
    <t>Borrower Name</t>
  </si>
  <si>
    <t>Loan Number</t>
  </si>
  <si>
    <t>Employer</t>
  </si>
  <si>
    <t>Pay Type</t>
  </si>
  <si>
    <t>Hourly</t>
  </si>
  <si>
    <t>Per Hour</t>
  </si>
  <si>
    <t># of hours</t>
  </si>
  <si>
    <t>X52/12</t>
  </si>
  <si>
    <t>Income</t>
  </si>
  <si>
    <t>YTD Earnings</t>
  </si>
  <si>
    <t># months</t>
  </si>
  <si>
    <t xml:space="preserve"> </t>
  </si>
  <si>
    <t>YTD Avg</t>
  </si>
  <si>
    <t>YTD + 1 W2 Avg</t>
  </si>
  <si>
    <t>YTD + 2 Yr W2 Avg</t>
  </si>
  <si>
    <t>Use lowest income</t>
  </si>
  <si>
    <t>Salary</t>
  </si>
  <si>
    <t>Type of Salary</t>
  </si>
  <si>
    <t>Monthly</t>
  </si>
  <si>
    <t>Bi Weekly</t>
  </si>
  <si>
    <t>Weekly</t>
  </si>
  <si>
    <t>X1</t>
  </si>
  <si>
    <t>X26/12</t>
  </si>
  <si>
    <t>X24/12</t>
  </si>
  <si>
    <t>W2 Income</t>
  </si>
  <si>
    <t>YTD + 1 year Avg</t>
  </si>
  <si>
    <t>YTD + 2 Year Avg</t>
  </si>
  <si>
    <t>Use lower of calculations</t>
  </si>
  <si>
    <t>Overtime/Bonus</t>
  </si>
  <si>
    <t>Commission</t>
  </si>
  <si>
    <t>Break out commission from base salary</t>
  </si>
  <si>
    <t>YTD Commission</t>
  </si>
  <si>
    <t>Past year commission</t>
  </si>
  <si>
    <t>Additional year commission</t>
  </si>
  <si>
    <t>2106 Expenses</t>
  </si>
  <si>
    <t>2106 expenses</t>
  </si>
  <si>
    <t xml:space="preserve"> = Net income</t>
  </si>
  <si>
    <t xml:space="preserve"> = Net Income</t>
  </si>
  <si>
    <t>YTD + 2 year using net income</t>
  </si>
  <si>
    <t>Use Lower of calculations</t>
  </si>
  <si>
    <t>Other Income</t>
  </si>
  <si>
    <t>YTD income</t>
  </si>
  <si>
    <t>YTD Income</t>
  </si>
  <si>
    <t>Type of income</t>
  </si>
  <si>
    <t>2106 YTD Expense Estimate</t>
  </si>
  <si>
    <t>2 year Commission Vs 2106 Expenses</t>
  </si>
  <si>
    <t>Expenses</t>
  </si>
  <si>
    <t>Expense factor</t>
  </si>
  <si>
    <t>W2 income</t>
  </si>
  <si>
    <t>monthly income</t>
  </si>
  <si>
    <t>YTD + 1 Year</t>
  </si>
  <si>
    <t>YTD + 2 Year</t>
  </si>
  <si>
    <t>Income Calculation Worksheet</t>
  </si>
  <si>
    <t>=</t>
  </si>
  <si>
    <t>YTD Salary (paytsub)</t>
  </si>
  <si>
    <t>Past year OT breakout</t>
  </si>
  <si>
    <t>use lowest income average</t>
  </si>
  <si>
    <t>Date</t>
  </si>
  <si>
    <t>W2 for Tax Year:</t>
  </si>
  <si>
    <t>YTD Avg using net income</t>
  </si>
  <si>
    <t>YTD + 1 year using Net Income</t>
  </si>
  <si>
    <t>W2 for year:</t>
  </si>
  <si>
    <t>Underwriter Comments</t>
  </si>
  <si>
    <t>Base Used to Qualify</t>
  </si>
  <si>
    <t>Total Income to Qualify</t>
  </si>
  <si>
    <t>Monthly Avg</t>
  </si>
  <si>
    <t>Break out OT/Bonus from base salary</t>
  </si>
  <si>
    <t>or check the income you wish to use</t>
  </si>
  <si>
    <t>check the salary you wish to use</t>
  </si>
  <si>
    <t>Semi Monthly</t>
  </si>
  <si>
    <t>Additional year OT / Bonus</t>
  </si>
  <si>
    <t>YTD Overtime / Bonus*</t>
  </si>
  <si>
    <t>*If DU requires only a YTD paystub, OT/Bonus must be annualized. 
 Divide YTD OT/Bonus by 12 months; for qualifying purposes, typically a two year history of receipt is required.</t>
  </si>
  <si>
    <t>*minus Expenses</t>
  </si>
  <si>
    <t>*Follow investor guidelines for unreimbursed expense policy.</t>
  </si>
  <si>
    <t xml:space="preserve">If YTD or past year is lower, confirm why. </t>
  </si>
  <si>
    <t>Otherwise, lower of YTD and W2 required.</t>
  </si>
  <si>
    <r>
      <t>expenses (</t>
    </r>
    <r>
      <rPr>
        <sz val="8"/>
        <rFont val="AvenirNext LT Pro Regular"/>
        <family val="2"/>
      </rPr>
      <t>based upon 2106 expenses</t>
    </r>
    <r>
      <rPr>
        <sz val="9"/>
        <rFont val="AvenirNext LT Pro Regular"/>
        <family val="2"/>
      </rPr>
      <t>)</t>
    </r>
  </si>
  <si>
    <t>Annual Benefit</t>
  </si>
  <si>
    <t>Taxable Portion</t>
  </si>
  <si>
    <t>Non-Taxable</t>
  </si>
  <si>
    <t>With Documentation</t>
  </si>
  <si>
    <t>x 125%</t>
  </si>
  <si>
    <t>x 100%</t>
  </si>
  <si>
    <t>Total Monthly Income</t>
  </si>
  <si>
    <t>Potential Non Taxable Income Social Security:  Retirement/Disability/Survivor/Supplement  Specify:</t>
  </si>
  <si>
    <t>Potential Non Taxable Income Other:  IRA, Pension, Child Support Specify:</t>
  </si>
  <si>
    <t>Total Income</t>
  </si>
  <si>
    <t>Annual Benefit x 85%</t>
  </si>
  <si>
    <t>Annual Benefit x 15%</t>
  </si>
  <si>
    <t>Total Gross up</t>
  </si>
  <si>
    <t>Gross up 25%</t>
  </si>
  <si>
    <t>Total Annual Benefit</t>
  </si>
  <si>
    <r>
      <t xml:space="preserve">This calculator can be found at </t>
    </r>
    <r>
      <rPr>
        <i/>
        <u/>
        <sz val="9"/>
        <color rgb="FF0070C0"/>
        <rFont val="AvenirNext LT Pro Regular"/>
        <family val="2"/>
      </rPr>
      <t>https://enactmi.com/self-employed-borrower-calculators.</t>
    </r>
  </si>
  <si>
    <t>Without Taxation Documentation</t>
  </si>
  <si>
    <t>CERVANTES</t>
  </si>
  <si>
    <t>MONOCO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</si>
</sst>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44" formatCode="_(&quot;$&quot;* #,##0.00_);_(&quot;$&quot;* \(#,##0.00\);_(&quot;$&quot;* &quot;-&quot;??_);_(@_)"/>
  </numFmts>
  <fonts count="17">
    <font>
      <sz val="10"/>
      <name val="Arial"/>
    </font>
    <font>
      <sz val="10"/>
      <name val="Arial"/>
      <family val="2"/>
    </font>
    <font>
      <sz val="11"/>
      <color theme="0"/>
      <name val="Calibri"/>
      <family val="2"/>
      <scheme val="minor"/>
    </font>
    <font>
      <sz val="7"/>
      <name val="AvenirNext LT Pro Regular"/>
      <family val="2"/>
    </font>
    <font>
      <b/>
      <sz val="7"/>
      <name val="AvenirNext LT Pro Regular"/>
      <family val="2"/>
    </font>
    <font>
      <sz val="7"/>
      <color indexed="9"/>
      <name val="AvenirNext LT Pro Regular"/>
      <family val="2"/>
    </font>
    <font>
      <sz val="7"/>
      <color theme="0"/>
      <name val="AvenirNext LT Pro Regular"/>
      <family val="2"/>
    </font>
    <font>
      <sz val="9"/>
      <name val="AvenirNext LT Pro Regular"/>
      <family val="2"/>
    </font>
    <font>
      <b/>
      <sz val="9"/>
      <name val="AvenirNext LT Pro Regular"/>
      <family val="2"/>
    </font>
    <font>
      <sz val="9"/>
      <color indexed="9"/>
      <name val="AvenirNext LT Pro Regular"/>
      <family val="2"/>
    </font>
    <font>
      <i/>
      <sz val="9"/>
      <color rgb="FF0070C0"/>
      <name val="AvenirNext LT Pro Regular"/>
      <family val="2"/>
    </font>
    <font>
      <i/>
      <u/>
      <sz val="9"/>
      <color rgb="FF0070C0"/>
      <name val="AvenirNext LT Pro Regular"/>
      <family val="2"/>
    </font>
    <font>
      <sz val="8"/>
      <name val="AvenirNext LT Pro Regular"/>
      <family val="2"/>
    </font>
    <font>
      <b/>
      <sz val="12"/>
      <name val="AvenirNext LT Pro Regular"/>
      <family val="2"/>
    </font>
    <font>
      <sz val="7"/>
      <color rgb="FFFF0000"/>
      <name val="AvenirNext LT Pro Regular"/>
      <family val="2"/>
    </font>
    <font>
      <sz val="9"/>
      <color theme="0"/>
      <name val="AvenirNext LT Pro Regular"/>
      <family val="2"/>
    </font>
    <font>
      <i/>
      <sz val="9"/>
      <name val="AvenirNext LT Pro Regular"/>
    </font>
  </fonts>
  <fills count="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5"/>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3" tint="0.59999389629810485"/>
        <bgColor indexed="64"/>
      </patternFill>
    </fill>
  </fills>
  <borders count="36">
    <border>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0" fontId="2" fillId="4" borderId="0" applyNumberFormat="0" applyBorder="0" applyAlignment="0" applyProtection="0"/>
  </cellStyleXfs>
  <cellXfs count="168">
    <xf numFmtId="0" fontId="0" fillId="0" borderId="0" xfId="0"/>
    <xf numFmtId="0" fontId="3" fillId="2" borderId="0" xfId="0" applyFont="1" applyFill="1"/>
    <xf numFmtId="0" fontId="3" fillId="7" borderId="0" xfId="0" applyFont="1" applyFill="1"/>
    <xf numFmtId="0" fontId="3" fillId="0" borderId="0" xfId="0" applyFont="1"/>
    <xf numFmtId="44" fontId="7" fillId="5" borderId="10" xfId="1" applyFont="1" applyFill="1" applyBorder="1" applyProtection="1">
      <protection locked="0"/>
    </xf>
    <xf numFmtId="0" fontId="7" fillId="5" borderId="10" xfId="0" applyFont="1" applyFill="1" applyBorder="1" applyAlignment="1" applyProtection="1">
      <alignment horizontal="center"/>
      <protection locked="0"/>
    </xf>
    <xf numFmtId="0" fontId="7" fillId="5" borderId="10" xfId="0" applyFont="1" applyFill="1" applyBorder="1" applyProtection="1">
      <protection locked="0"/>
    </xf>
    <xf numFmtId="44" fontId="7" fillId="7" borderId="0" xfId="1" applyFont="1" applyFill="1" applyBorder="1" applyProtection="1"/>
    <xf numFmtId="0" fontId="7" fillId="2" borderId="0" xfId="0" applyFont="1" applyFill="1"/>
    <xf numFmtId="0" fontId="7" fillId="5" borderId="9" xfId="0" applyFont="1" applyFill="1" applyBorder="1" applyAlignment="1" applyProtection="1">
      <alignment horizontal="center"/>
      <protection locked="0"/>
    </xf>
    <xf numFmtId="0" fontId="7" fillId="2" borderId="28" xfId="0" applyFont="1" applyFill="1" applyBorder="1"/>
    <xf numFmtId="0" fontId="7" fillId="2" borderId="29" xfId="0" applyFont="1" applyFill="1" applyBorder="1"/>
    <xf numFmtId="0" fontId="3" fillId="2" borderId="30" xfId="0" applyFont="1" applyFill="1" applyBorder="1"/>
    <xf numFmtId="0" fontId="7" fillId="2" borderId="4" xfId="0" applyFont="1" applyFill="1" applyBorder="1"/>
    <xf numFmtId="0" fontId="3" fillId="2" borderId="5" xfId="0" applyFont="1" applyFill="1" applyBorder="1"/>
    <xf numFmtId="0" fontId="8" fillId="2" borderId="4" xfId="0" applyFont="1" applyFill="1" applyBorder="1"/>
    <xf numFmtId="0" fontId="7" fillId="2" borderId="0" xfId="0" applyFont="1" applyFill="1" applyAlignment="1">
      <alignment horizontal="center"/>
    </xf>
    <xf numFmtId="0" fontId="8" fillId="2" borderId="0" xfId="0" applyFont="1" applyFill="1"/>
    <xf numFmtId="0" fontId="8" fillId="7" borderId="4" xfId="0" applyFont="1" applyFill="1" applyBorder="1" applyAlignment="1">
      <alignment horizontal="center"/>
    </xf>
    <xf numFmtId="0" fontId="8" fillId="7" borderId="0" xfId="0" applyFont="1" applyFill="1" applyAlignment="1">
      <alignment horizontal="center"/>
    </xf>
    <xf numFmtId="0" fontId="4" fillId="7" borderId="5" xfId="0" applyFont="1" applyFill="1" applyBorder="1" applyAlignment="1">
      <alignment horizontal="center"/>
    </xf>
    <xf numFmtId="0" fontId="7" fillId="2" borderId="12" xfId="0" applyFont="1" applyFill="1" applyBorder="1"/>
    <xf numFmtId="0" fontId="7" fillId="2" borderId="1" xfId="0" applyFont="1" applyFill="1" applyBorder="1"/>
    <xf numFmtId="0" fontId="7" fillId="2" borderId="1" xfId="0" applyFont="1" applyFill="1" applyBorder="1" applyAlignment="1">
      <alignment horizontal="center"/>
    </xf>
    <xf numFmtId="0" fontId="7" fillId="2" borderId="18" xfId="0" applyFont="1" applyFill="1" applyBorder="1"/>
    <xf numFmtId="0" fontId="7" fillId="2" borderId="2" xfId="0" applyFont="1" applyFill="1" applyBorder="1" applyAlignment="1">
      <alignment horizontal="center"/>
    </xf>
    <xf numFmtId="0" fontId="7" fillId="2" borderId="19" xfId="0" applyFont="1" applyFill="1" applyBorder="1"/>
    <xf numFmtId="0" fontId="7" fillId="2" borderId="3" xfId="0" applyFont="1" applyFill="1" applyBorder="1" applyAlignment="1">
      <alignment horizontal="center"/>
    </xf>
    <xf numFmtId="0" fontId="7" fillId="2" borderId="4" xfId="0" applyFont="1" applyFill="1" applyBorder="1" applyAlignment="1">
      <alignment horizontal="right"/>
    </xf>
    <xf numFmtId="0" fontId="7" fillId="2" borderId="20" xfId="0" applyFont="1" applyFill="1" applyBorder="1"/>
    <xf numFmtId="0" fontId="7" fillId="2" borderId="2" xfId="0" applyFont="1" applyFill="1" applyBorder="1"/>
    <xf numFmtId="0" fontId="7" fillId="2" borderId="3" xfId="0" applyFont="1" applyFill="1" applyBorder="1"/>
    <xf numFmtId="0" fontId="8" fillId="2" borderId="21" xfId="0" applyFont="1" applyFill="1" applyBorder="1"/>
    <xf numFmtId="0" fontId="8" fillId="2" borderId="17" xfId="0" applyFont="1" applyFill="1" applyBorder="1"/>
    <xf numFmtId="44" fontId="9" fillId="2" borderId="0" xfId="1" applyFont="1" applyFill="1" applyBorder="1" applyProtection="1"/>
    <xf numFmtId="0" fontId="7" fillId="0" borderId="0" xfId="0" applyFont="1" applyAlignment="1">
      <alignment horizontal="center"/>
    </xf>
    <xf numFmtId="0" fontId="7" fillId="2" borderId="12" xfId="0" applyFont="1" applyFill="1" applyBorder="1" applyAlignment="1">
      <alignment horizontal="left"/>
    </xf>
    <xf numFmtId="0" fontId="7" fillId="2" borderId="0" xfId="0" applyFont="1" applyFill="1" applyAlignment="1">
      <alignment horizontal="left"/>
    </xf>
    <xf numFmtId="0" fontId="7" fillId="2" borderId="13" xfId="0" applyFont="1" applyFill="1" applyBorder="1"/>
    <xf numFmtId="0" fontId="7" fillId="2" borderId="13" xfId="0" applyFont="1" applyFill="1" applyBorder="1" applyAlignment="1">
      <alignment horizontal="left"/>
    </xf>
    <xf numFmtId="0" fontId="7" fillId="2" borderId="22" xfId="0" applyFont="1" applyFill="1" applyBorder="1"/>
    <xf numFmtId="0" fontId="7" fillId="2" borderId="23" xfId="0" applyFont="1" applyFill="1" applyBorder="1"/>
    <xf numFmtId="0" fontId="7" fillId="2" borderId="4" xfId="0" applyFont="1" applyFill="1" applyBorder="1" applyAlignment="1">
      <alignment horizontal="left"/>
    </xf>
    <xf numFmtId="0" fontId="3" fillId="2" borderId="5" xfId="0" applyFont="1" applyFill="1" applyBorder="1" applyAlignment="1">
      <alignment wrapText="1"/>
    </xf>
    <xf numFmtId="0" fontId="7" fillId="2" borderId="0" xfId="0" applyFont="1" applyFill="1" applyAlignment="1">
      <alignment wrapText="1"/>
    </xf>
    <xf numFmtId="0" fontId="8" fillId="3" borderId="17" xfId="0" applyFont="1" applyFill="1" applyBorder="1" applyAlignment="1">
      <alignment horizontal="center"/>
    </xf>
    <xf numFmtId="0" fontId="7" fillId="2" borderId="24" xfId="0" applyFont="1" applyFill="1" applyBorder="1" applyAlignment="1">
      <alignment horizontal="center"/>
    </xf>
    <xf numFmtId="0" fontId="7" fillId="2" borderId="25" xfId="0" applyFont="1" applyFill="1" applyBorder="1" applyAlignment="1">
      <alignment horizontal="center"/>
    </xf>
    <xf numFmtId="0" fontId="7" fillId="2" borderId="26" xfId="0" applyFont="1" applyFill="1" applyBorder="1" applyAlignment="1">
      <alignment horizontal="center"/>
    </xf>
    <xf numFmtId="0" fontId="7" fillId="2" borderId="17" xfId="0" applyFont="1" applyFill="1" applyBorder="1"/>
    <xf numFmtId="0" fontId="3" fillId="2" borderId="5" xfId="0" applyFont="1" applyFill="1" applyBorder="1" applyAlignment="1">
      <alignment horizontal="left"/>
    </xf>
    <xf numFmtId="0" fontId="7" fillId="7" borderId="4" xfId="0" applyFont="1" applyFill="1" applyBorder="1"/>
    <xf numFmtId="0" fontId="7" fillId="7" borderId="0" xfId="0" applyFont="1" applyFill="1"/>
    <xf numFmtId="0" fontId="12" fillId="7" borderId="0" xfId="0" applyFont="1" applyFill="1" applyAlignment="1">
      <alignment horizontal="left"/>
    </xf>
    <xf numFmtId="0" fontId="7" fillId="7" borderId="0" xfId="0" applyFont="1" applyFill="1" applyAlignment="1">
      <alignment horizontal="center"/>
    </xf>
    <xf numFmtId="0" fontId="7" fillId="7" borderId="0" xfId="0" applyFont="1" applyFill="1" applyAlignment="1">
      <alignment horizontal="left"/>
    </xf>
    <xf numFmtId="0" fontId="3" fillId="7" borderId="5" xfId="0" applyFont="1" applyFill="1" applyBorder="1"/>
    <xf numFmtId="0" fontId="7" fillId="2" borderId="12" xfId="0" applyFont="1" applyFill="1" applyBorder="1" applyAlignment="1">
      <alignment horizontal="center"/>
    </xf>
    <xf numFmtId="0" fontId="7" fillId="2" borderId="1" xfId="0" applyFont="1" applyFill="1" applyBorder="1" applyAlignment="1">
      <alignment horizontal="right"/>
    </xf>
    <xf numFmtId="0" fontId="7" fillId="2" borderId="2" xfId="0" applyFont="1" applyFill="1" applyBorder="1" applyAlignment="1">
      <alignment horizontal="right"/>
    </xf>
    <xf numFmtId="0" fontId="7" fillId="2" borderId="13" xfId="0" applyFont="1" applyFill="1" applyBorder="1" applyAlignment="1">
      <alignment horizontal="center"/>
    </xf>
    <xf numFmtId="0" fontId="7" fillId="2" borderId="3" xfId="0" applyFont="1" applyFill="1" applyBorder="1" applyAlignment="1">
      <alignment horizontal="right"/>
    </xf>
    <xf numFmtId="0" fontId="7" fillId="2" borderId="24" xfId="0" applyFont="1" applyFill="1" applyBorder="1"/>
    <xf numFmtId="0" fontId="7" fillId="2" borderId="14" xfId="0" applyFont="1" applyFill="1" applyBorder="1" applyAlignment="1">
      <alignment horizontal="left"/>
    </xf>
    <xf numFmtId="0" fontId="7" fillId="2" borderId="1" xfId="0" applyFont="1" applyFill="1" applyBorder="1" applyAlignment="1">
      <alignment horizontal="left"/>
    </xf>
    <xf numFmtId="0" fontId="7" fillId="2" borderId="25" xfId="0" applyFont="1" applyFill="1" applyBorder="1"/>
    <xf numFmtId="0" fontId="7" fillId="2" borderId="15" xfId="0" applyFont="1" applyFill="1" applyBorder="1" applyAlignment="1">
      <alignment horizontal="left"/>
    </xf>
    <xf numFmtId="0" fontId="7" fillId="2" borderId="2" xfId="0" applyFont="1" applyFill="1" applyBorder="1" applyAlignment="1">
      <alignment horizontal="left"/>
    </xf>
    <xf numFmtId="0" fontId="7" fillId="2" borderId="26" xfId="0" applyFont="1" applyFill="1" applyBorder="1"/>
    <xf numFmtId="0" fontId="7" fillId="2" borderId="16" xfId="0" applyFont="1" applyFill="1" applyBorder="1" applyAlignment="1">
      <alignment horizontal="left"/>
    </xf>
    <xf numFmtId="44" fontId="7" fillId="2" borderId="0" xfId="1" applyFont="1" applyFill="1" applyBorder="1" applyProtection="1"/>
    <xf numFmtId="0" fontId="8" fillId="6" borderId="10" xfId="0" applyFont="1" applyFill="1" applyBorder="1"/>
    <xf numFmtId="0" fontId="7" fillId="2" borderId="0" xfId="0" applyFont="1" applyFill="1" applyAlignment="1">
      <alignment horizontal="right"/>
    </xf>
    <xf numFmtId="0" fontId="8" fillId="7" borderId="0" xfId="0" applyFont="1" applyFill="1" applyAlignment="1">
      <alignment horizontal="left"/>
    </xf>
    <xf numFmtId="0" fontId="7" fillId="2" borderId="6" xfId="0" applyFont="1" applyFill="1" applyBorder="1"/>
    <xf numFmtId="0" fontId="7" fillId="2" borderId="7" xfId="0" applyFont="1" applyFill="1" applyBorder="1"/>
    <xf numFmtId="0" fontId="3" fillId="2" borderId="8" xfId="0" applyFont="1" applyFill="1" applyBorder="1"/>
    <xf numFmtId="0" fontId="10" fillId="2" borderId="0" xfId="0" applyFont="1" applyFill="1"/>
    <xf numFmtId="0" fontId="7" fillId="0" borderId="10" xfId="0" applyFont="1" applyBorder="1" applyAlignment="1">
      <alignment horizontal="center"/>
    </xf>
    <xf numFmtId="0" fontId="7" fillId="2" borderId="4" xfId="0" applyFont="1" applyFill="1" applyBorder="1" applyAlignment="1" applyProtection="1">
      <alignment horizontal="right"/>
      <protection locked="0"/>
    </xf>
    <xf numFmtId="0" fontId="7" fillId="2" borderId="4" xfId="0" applyFont="1" applyFill="1" applyBorder="1" applyProtection="1">
      <protection locked="0"/>
    </xf>
    <xf numFmtId="0" fontId="8" fillId="3" borderId="31" xfId="0" applyFont="1" applyFill="1" applyBorder="1"/>
    <xf numFmtId="0" fontId="8" fillId="6" borderId="9" xfId="0" applyFont="1" applyFill="1" applyBorder="1"/>
    <xf numFmtId="0" fontId="8" fillId="6" borderId="27" xfId="0" applyFont="1" applyFill="1" applyBorder="1"/>
    <xf numFmtId="44" fontId="7" fillId="5" borderId="34" xfId="1" applyFont="1" applyFill="1" applyBorder="1" applyProtection="1">
      <protection locked="0"/>
    </xf>
    <xf numFmtId="0" fontId="9" fillId="2" borderId="0" xfId="0" applyFont="1" applyFill="1" applyProtection="1">
      <protection locked="0"/>
    </xf>
    <xf numFmtId="0" fontId="6" fillId="2" borderId="0" xfId="0" applyFont="1" applyFill="1" applyProtection="1">
      <protection locked="0"/>
    </xf>
    <xf numFmtId="0" fontId="5" fillId="2" borderId="5" xfId="0" applyFont="1" applyFill="1" applyBorder="1" applyProtection="1">
      <protection locked="0"/>
    </xf>
    <xf numFmtId="0" fontId="14" fillId="2" borderId="0" xfId="0" applyFont="1" applyFill="1"/>
    <xf numFmtId="0" fontId="15" fillId="2" borderId="0" xfId="0" applyFont="1" applyFill="1"/>
    <xf numFmtId="0" fontId="15" fillId="2" borderId="0" xfId="0" applyFont="1" applyFill="1" applyProtection="1">
      <protection locked="0"/>
    </xf>
    <xf numFmtId="0" fontId="6" fillId="2" borderId="0" xfId="0" applyFont="1" applyFill="1"/>
    <xf numFmtId="44" fontId="7" fillId="8" borderId="10" xfId="1" applyFont="1" applyFill="1" applyBorder="1" applyProtection="1"/>
    <xf numFmtId="44" fontId="7" fillId="8" borderId="10" xfId="0" applyNumberFormat="1" applyFont="1" applyFill="1" applyBorder="1"/>
    <xf numFmtId="44" fontId="7" fillId="8" borderId="10" xfId="2" applyNumberFormat="1" applyFont="1" applyFill="1" applyBorder="1" applyProtection="1"/>
    <xf numFmtId="44" fontId="7" fillId="8" borderId="27" xfId="1" applyFont="1" applyFill="1" applyBorder="1" applyProtection="1"/>
    <xf numFmtId="0" fontId="12" fillId="2" borderId="4" xfId="0" applyFont="1" applyFill="1" applyBorder="1"/>
    <xf numFmtId="44" fontId="7" fillId="0" borderId="0" xfId="1" applyFont="1" applyFill="1" applyBorder="1" applyProtection="1"/>
    <xf numFmtId="0" fontId="12" fillId="2" borderId="4" xfId="0" applyFont="1" applyFill="1" applyBorder="1" applyProtection="1">
      <protection locked="0"/>
    </xf>
    <xf numFmtId="0" fontId="12" fillId="2" borderId="0" xfId="0" applyFont="1" applyFill="1" applyAlignment="1">
      <alignment horizontal="left"/>
    </xf>
    <xf numFmtId="0" fontId="8" fillId="7" borderId="0" xfId="0" applyFont="1" applyFill="1"/>
    <xf numFmtId="0" fontId="16" fillId="2" borderId="0" xfId="0" applyFont="1" applyFill="1"/>
    <xf numFmtId="0" fontId="8" fillId="6" borderId="10" xfId="0" applyFont="1" applyFill="1" applyBorder="1" applyAlignment="1">
      <alignment horizontal="right"/>
    </xf>
    <xf numFmtId="0" fontId="7" fillId="0" borderId="0" xfId="0" applyFont="1" applyAlignment="1">
      <alignment horizontal="right"/>
    </xf>
    <xf numFmtId="0" fontId="7" fillId="0" borderId="0" xfId="0" applyFont="1"/>
    <xf numFmtId="44" fontId="7" fillId="5" borderId="9" xfId="1" applyFont="1" applyFill="1" applyBorder="1" applyProtection="1">
      <protection locked="0"/>
    </xf>
    <xf numFmtId="0" fontId="15" fillId="2" borderId="4" xfId="0" applyFont="1" applyFill="1" applyBorder="1"/>
    <xf numFmtId="0" fontId="15" fillId="0" borderId="4" xfId="0" applyFont="1" applyBorder="1"/>
    <xf numFmtId="0" fontId="8" fillId="6" borderId="35" xfId="0" applyFont="1" applyFill="1" applyBorder="1"/>
    <xf numFmtId="0" fontId="5" fillId="2" borderId="0" xfId="0" applyFont="1" applyFill="1" applyProtection="1">
      <protection locked="0"/>
    </xf>
    <xf numFmtId="0" fontId="7" fillId="0" borderId="20" xfId="0" applyFont="1" applyBorder="1"/>
    <xf numFmtId="0" fontId="7" fillId="0" borderId="15" xfId="0" applyFont="1" applyBorder="1"/>
    <xf numFmtId="0" fontId="3" fillId="2" borderId="4" xfId="0" applyFont="1" applyFill="1" applyBorder="1" applyAlignment="1" applyProtection="1">
      <alignment horizontal="left" vertical="top" wrapText="1"/>
      <protection locked="0"/>
    </xf>
    <xf numFmtId="0" fontId="3" fillId="2" borderId="0" xfId="0" applyFont="1" applyFill="1" applyAlignment="1" applyProtection="1">
      <alignment horizontal="left" vertical="top" wrapText="1"/>
      <protection locked="0"/>
    </xf>
    <xf numFmtId="0" fontId="3" fillId="2" borderId="5" xfId="0" applyFont="1" applyFill="1" applyBorder="1" applyAlignment="1" applyProtection="1">
      <alignment horizontal="left" vertical="top" wrapText="1"/>
      <protection locked="0"/>
    </xf>
    <xf numFmtId="0" fontId="3" fillId="2" borderId="6" xfId="0" applyFont="1" applyFill="1" applyBorder="1" applyAlignment="1" applyProtection="1">
      <alignment horizontal="left" vertical="top" wrapText="1"/>
      <protection locked="0"/>
    </xf>
    <xf numFmtId="0" fontId="3" fillId="2" borderId="7" xfId="0" applyFont="1" applyFill="1" applyBorder="1" applyAlignment="1" applyProtection="1">
      <alignment horizontal="left" vertical="top" wrapText="1"/>
      <protection locked="0"/>
    </xf>
    <xf numFmtId="0" fontId="3" fillId="2" borderId="8" xfId="0" applyFont="1" applyFill="1" applyBorder="1" applyAlignment="1" applyProtection="1">
      <alignment horizontal="left" vertical="top" wrapText="1"/>
      <protection locked="0"/>
    </xf>
    <xf numFmtId="0" fontId="7" fillId="2" borderId="29" xfId="0" applyFont="1" applyFill="1" applyBorder="1" applyAlignment="1">
      <alignment horizontal="center"/>
    </xf>
    <xf numFmtId="42" fontId="7" fillId="0" borderId="10" xfId="1" applyNumberFormat="1" applyFont="1" applyFill="1" applyBorder="1" applyProtection="1">
      <protection locked="0"/>
    </xf>
    <xf numFmtId="0" fontId="7" fillId="2" borderId="31" xfId="0" applyFont="1" applyFill="1" applyBorder="1" applyAlignment="1">
      <alignment horizontal="center"/>
    </xf>
    <xf numFmtId="0" fontId="7" fillId="2" borderId="17" xfId="0" applyFont="1" applyFill="1" applyBorder="1" applyAlignment="1">
      <alignment horizontal="center"/>
    </xf>
    <xf numFmtId="0" fontId="8" fillId="2" borderId="15" xfId="0" applyFont="1" applyFill="1" applyBorder="1" applyAlignment="1">
      <alignment horizontal="center"/>
    </xf>
    <xf numFmtId="0" fontId="8" fillId="2" borderId="0" xfId="0" applyFont="1" applyFill="1" applyAlignment="1">
      <alignment horizontal="center"/>
    </xf>
    <xf numFmtId="0" fontId="7" fillId="5" borderId="9" xfId="0" applyFont="1" applyFill="1" applyBorder="1" applyAlignment="1" applyProtection="1">
      <alignment horizontal="center"/>
      <protection locked="0"/>
    </xf>
    <xf numFmtId="0" fontId="7" fillId="5" borderId="27" xfId="0" applyFont="1" applyFill="1" applyBorder="1" applyAlignment="1" applyProtection="1">
      <alignment horizontal="center"/>
      <protection locked="0"/>
    </xf>
    <xf numFmtId="0" fontId="8" fillId="6" borderId="9" xfId="0" applyFont="1" applyFill="1" applyBorder="1" applyAlignment="1">
      <alignment horizontal="left"/>
    </xf>
    <xf numFmtId="0" fontId="8" fillId="6" borderId="27" xfId="0" applyFont="1" applyFill="1" applyBorder="1" applyAlignment="1">
      <alignment horizontal="left"/>
    </xf>
    <xf numFmtId="0" fontId="8" fillId="6" borderId="9" xfId="0" applyFont="1" applyFill="1" applyBorder="1" applyAlignment="1" applyProtection="1">
      <alignment horizontal="center" vertical="top"/>
      <protection locked="0"/>
    </xf>
    <xf numFmtId="0" fontId="8" fillId="6" borderId="27" xfId="0" applyFont="1" applyFill="1" applyBorder="1" applyAlignment="1" applyProtection="1">
      <alignment horizontal="center" vertical="top"/>
      <protection locked="0"/>
    </xf>
    <xf numFmtId="0" fontId="7" fillId="2" borderId="20" xfId="0" applyFont="1" applyFill="1" applyBorder="1" applyAlignment="1">
      <alignment horizontal="center"/>
    </xf>
    <xf numFmtId="0" fontId="7" fillId="2" borderId="22" xfId="0" applyFont="1" applyFill="1" applyBorder="1" applyAlignment="1">
      <alignment horizontal="center"/>
    </xf>
    <xf numFmtId="0" fontId="7" fillId="2" borderId="11" xfId="0" applyFont="1" applyFill="1" applyBorder="1" applyAlignment="1">
      <alignment horizontal="center"/>
    </xf>
    <xf numFmtId="44" fontId="7" fillId="8" borderId="9" xfId="1" applyFont="1" applyFill="1" applyBorder="1" applyAlignment="1" applyProtection="1">
      <alignment horizontal="center"/>
    </xf>
    <xf numFmtId="44" fontId="7" fillId="8" borderId="27" xfId="1" applyFont="1" applyFill="1" applyBorder="1" applyAlignment="1" applyProtection="1">
      <alignment horizontal="center"/>
    </xf>
    <xf numFmtId="0" fontId="7" fillId="2" borderId="28" xfId="0" applyFont="1" applyFill="1" applyBorder="1" applyAlignment="1" applyProtection="1">
      <alignment horizontal="left" vertical="top" wrapText="1"/>
      <protection locked="0"/>
    </xf>
    <xf numFmtId="0" fontId="7" fillId="2" borderId="29" xfId="0" applyFont="1" applyFill="1" applyBorder="1" applyAlignment="1" applyProtection="1">
      <alignment horizontal="left" vertical="top" wrapText="1"/>
      <protection locked="0"/>
    </xf>
    <xf numFmtId="0" fontId="7" fillId="2" borderId="30" xfId="0" applyFont="1" applyFill="1" applyBorder="1" applyAlignment="1" applyProtection="1">
      <alignment horizontal="left" vertical="top" wrapText="1"/>
      <protection locked="0"/>
    </xf>
    <xf numFmtId="0" fontId="13" fillId="2" borderId="29" xfId="0" applyFont="1" applyFill="1" applyBorder="1" applyAlignment="1">
      <alignment horizontal="center"/>
    </xf>
    <xf numFmtId="0" fontId="13" fillId="2" borderId="0" xfId="0" applyFont="1" applyFill="1" applyAlignment="1">
      <alignment horizontal="center"/>
    </xf>
    <xf numFmtId="0" fontId="12" fillId="2" borderId="0" xfId="0" applyFont="1" applyFill="1" applyAlignment="1">
      <alignment horizontal="left" wrapText="1"/>
    </xf>
    <xf numFmtId="0" fontId="8" fillId="2" borderId="0" xfId="0" applyFont="1" applyFill="1" applyAlignment="1">
      <alignment horizontal="left"/>
    </xf>
    <xf numFmtId="14" fontId="7" fillId="8" borderId="9" xfId="0" applyNumberFormat="1" applyFont="1" applyFill="1" applyBorder="1" applyAlignment="1">
      <alignment horizontal="center"/>
    </xf>
    <xf numFmtId="14" fontId="7" fillId="8" borderId="27" xfId="0" applyNumberFormat="1" applyFont="1" applyFill="1" applyBorder="1" applyAlignment="1">
      <alignment horizontal="center"/>
    </xf>
    <xf numFmtId="0" fontId="4" fillId="3" borderId="9" xfId="0" applyFont="1" applyFill="1" applyBorder="1" applyAlignment="1">
      <alignment horizontal="center"/>
    </xf>
    <xf numFmtId="0" fontId="4" fillId="3" borderId="33" xfId="0" applyFont="1" applyFill="1" applyBorder="1" applyAlignment="1">
      <alignment horizontal="center"/>
    </xf>
    <xf numFmtId="0" fontId="4" fillId="3" borderId="27" xfId="0" applyFont="1" applyFill="1" applyBorder="1" applyAlignment="1">
      <alignment horizontal="center"/>
    </xf>
    <xf numFmtId="0" fontId="8" fillId="0" borderId="32" xfId="0" applyFont="1" applyBorder="1" applyAlignment="1">
      <alignment horizontal="left"/>
    </xf>
    <xf numFmtId="0" fontId="8" fillId="0" borderId="17" xfId="0" applyFont="1" applyBorder="1" applyAlignment="1">
      <alignment horizontal="left"/>
    </xf>
    <xf numFmtId="0" fontId="12" fillId="2" borderId="0" xfId="0" applyFont="1" applyFill="1" applyAlignment="1">
      <alignment horizontal="left"/>
    </xf>
    <xf numFmtId="0" fontId="8" fillId="3" borderId="31" xfId="0" applyFont="1" applyFill="1" applyBorder="1" applyAlignment="1">
      <alignment horizontal="center"/>
    </xf>
    <xf numFmtId="0" fontId="8" fillId="3" borderId="17" xfId="0" applyFont="1" applyFill="1" applyBorder="1" applyAlignment="1">
      <alignment horizontal="center"/>
    </xf>
    <xf numFmtId="0" fontId="7" fillId="2" borderId="14" xfId="0" applyFont="1" applyFill="1" applyBorder="1" applyAlignment="1">
      <alignment horizontal="center"/>
    </xf>
    <xf numFmtId="0" fontId="7" fillId="2" borderId="12" xfId="0" applyFont="1" applyFill="1" applyBorder="1" applyAlignment="1">
      <alignment horizontal="center"/>
    </xf>
    <xf numFmtId="44" fontId="7" fillId="5" borderId="9" xfId="1" applyFont="1" applyFill="1" applyBorder="1" applyAlignment="1" applyProtection="1">
      <alignment horizontal="center"/>
      <protection locked="0"/>
    </xf>
    <xf numFmtId="44" fontId="7" fillId="5" borderId="27" xfId="1" applyFont="1" applyFill="1" applyBorder="1" applyAlignment="1" applyProtection="1">
      <alignment horizontal="center"/>
      <protection locked="0"/>
    </xf>
    <xf numFmtId="42" fontId="7" fillId="0" borderId="9" xfId="1" applyNumberFormat="1" applyFont="1" applyFill="1" applyBorder="1" applyAlignment="1" applyProtection="1">
      <alignment horizontal="center"/>
      <protection locked="0"/>
    </xf>
    <xf numFmtId="42" fontId="7" fillId="0" borderId="27" xfId="1" applyNumberFormat="1" applyFont="1" applyFill="1" applyBorder="1" applyAlignment="1" applyProtection="1">
      <alignment horizontal="center"/>
      <protection locked="0"/>
    </xf>
    <xf numFmtId="0" fontId="7" fillId="2" borderId="20" xfId="0" applyFont="1" applyFill="1" applyBorder="1" applyAlignment="1">
      <alignment horizontal="left"/>
    </xf>
    <xf numFmtId="0" fontId="7" fillId="2" borderId="1" xfId="0" applyFont="1" applyFill="1" applyBorder="1" applyAlignment="1">
      <alignment horizontal="left"/>
    </xf>
    <xf numFmtId="0" fontId="7" fillId="2" borderId="15" xfId="0" applyFont="1" applyFill="1" applyBorder="1" applyAlignment="1">
      <alignment horizontal="center"/>
    </xf>
    <xf numFmtId="0" fontId="7" fillId="2" borderId="0" xfId="0" applyFont="1" applyFill="1" applyAlignment="1">
      <alignment horizontal="center"/>
    </xf>
    <xf numFmtId="0" fontId="7" fillId="2" borderId="0" xfId="0" applyFont="1" applyFill="1" applyAlignment="1">
      <alignment horizontal="left"/>
    </xf>
    <xf numFmtId="0" fontId="7" fillId="2" borderId="2" xfId="0" applyFont="1" applyFill="1" applyBorder="1" applyAlignment="1">
      <alignment horizontal="left"/>
    </xf>
    <xf numFmtId="0" fontId="7" fillId="2" borderId="16" xfId="0" applyFont="1" applyFill="1" applyBorder="1" applyAlignment="1">
      <alignment horizontal="center"/>
    </xf>
    <xf numFmtId="0" fontId="7" fillId="2" borderId="13" xfId="0" applyFont="1" applyFill="1" applyBorder="1" applyAlignment="1">
      <alignment horizontal="center"/>
    </xf>
    <xf numFmtId="0" fontId="7" fillId="2" borderId="13" xfId="0" applyFont="1" applyFill="1" applyBorder="1" applyAlignment="1">
      <alignment horizontal="left"/>
    </xf>
    <xf numFmtId="0" fontId="7" fillId="2" borderId="3" xfId="0" applyFont="1" applyFill="1" applyBorder="1" applyAlignment="1">
      <alignment horizontal="left"/>
    </xf>
  </cellXfs>
  <cellStyles count="3">
    <cellStyle name="Accent2" xfId="2" builtinId="33"/>
    <cellStyle name="Currency" xfId="1" builtinId="4"/>
    <cellStyle name="Normal" xfId="0" builtinId="0"/>
  </cellStyles>
  <dxfs count="1">
    <dxf>
      <font>
        <condense val="0"/>
        <extend val="0"/>
        <color indexed="43"/>
      </font>
    </dxf>
  </dxfs>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fmlaLink="$G$16" lockText="1" noThreeD="1"/>
</file>

<file path=xl/ctrlProps/ctrlProp2.xml><?xml version="1.0" encoding="utf-8"?>
<formControlPr xmlns="http://schemas.microsoft.com/office/spreadsheetml/2009/9/main" objectType="CheckBox" checked="Checked" fmlaLink="$G$17" lockText="1" noThreeD="1"/>
</file>

<file path=xl/ctrlProps/ctrlProp3.xml><?xml version="1.0" encoding="utf-8"?>
<formControlPr xmlns="http://schemas.microsoft.com/office/spreadsheetml/2009/9/main" objectType="CheckBox" fmlaLink="$G$18" lockText="1" noThreeD="1"/>
</file>

<file path=xl/ctrlProps/ctrlProp4.xml><?xml version="1.0" encoding="utf-8"?>
<formControlPr xmlns="http://schemas.microsoft.com/office/spreadsheetml/2009/9/main" objectType="CheckBox" checked="Checked" fmlaLink="$G$43" lockText="1" noThreeD="1"/>
</file>

<file path=xl/ctrlProps/ctrlProp5.xml><?xml version="1.0" encoding="utf-8"?>
<formControlPr xmlns="http://schemas.microsoft.com/office/spreadsheetml/2009/9/main" objectType="CheckBox" fmlaLink="$G$44" lockText="1" noThreeD="1"/>
</file>

<file path=xl/ctrlProps/ctrlProp6.xml><?xml version="1.0" encoding="utf-8"?>
<formControlPr xmlns="http://schemas.microsoft.com/office/spreadsheetml/2009/9/main" objectType="CheckBox" fmlaLink="$G$45" lockText="1" noThreeD="1"/>
</file>

<file path=xl/ctrlProps/ctrlProp7.xml><?xml version="1.0" encoding="utf-8"?>
<formControlPr xmlns="http://schemas.microsoft.com/office/spreadsheetml/2009/9/main" objectType="CheckBox" fmlaLink="$G$15" lockText="1" noThreeD="1"/>
</file>

<file path=xl/ctrlProps/ctrlProp8.xml><?xml version="1.0" encoding="utf-8"?>
<formControlPr xmlns="http://schemas.microsoft.com/office/spreadsheetml/2009/9/main" objectType="CheckBox" fmlaLink="$G$61" lockText="1" noThreeD="1"/>
</file>

<file path=xl/ctrlProps/ctrlProp9.xml><?xml version="1.0" encoding="utf-8"?>
<formControlPr xmlns="http://schemas.microsoft.com/office/spreadsheetml/2009/9/main" objectType="CheckBox" fmlaLink="$G$62" lockText="1" noThreeD="1"/>
</file>

<file path=xl/ctrlProps/ctrlProp10.xml><?xml version="1.0" encoding="utf-8"?>
<formControlPr xmlns="http://schemas.microsoft.com/office/spreadsheetml/2009/9/main" objectType="CheckBox" fmlaLink="$G$63" lockText="1" noThreeD="1"/>
</file>

<file path=xl/ctrlProps/ctrlProp11.xml><?xml version="1.0" encoding="utf-8"?>
<formControlPr xmlns="http://schemas.microsoft.com/office/spreadsheetml/2009/9/main" objectType="CheckBox" fmlaLink="$G$76" lockText="1" noThreeD="1"/>
</file>

<file path=xl/ctrlProps/ctrlProp12.xml><?xml version="1.0" encoding="utf-8"?>
<formControlPr xmlns="http://schemas.microsoft.com/office/spreadsheetml/2009/9/main" objectType="CheckBox" fmlaLink="$G$77" lockText="1" noThreeD="1"/>
</file>

<file path=xl/ctrlProps/ctrlProp13.xml><?xml version="1.0" encoding="utf-8"?>
<formControlPr xmlns="http://schemas.microsoft.com/office/spreadsheetml/2009/9/main" objectType="CheckBox" fmlaLink="$G$78" lockText="1" noThreeD="1"/>
</file>

<file path=xl/ctrlProps/ctrlProp14.xml><?xml version="1.0" encoding="utf-8"?>
<formControlPr xmlns="http://schemas.microsoft.com/office/spreadsheetml/2009/9/main" objectType="CheckBox" fmlaLink="$M$25" lockText="1" noThreeD="1"/>
</file>

<file path=xl/ctrlProps/ctrlProp15.xml><?xml version="1.0" encoding="utf-8"?>
<formControlPr xmlns="http://schemas.microsoft.com/office/spreadsheetml/2009/9/main" objectType="CheckBox" fmlaLink="$M$26" lockText="1" noThreeD="1"/>
</file>

<file path=xl/ctrlProps/ctrlProp16.xml><?xml version="1.0" encoding="utf-8"?>
<formControlPr xmlns="http://schemas.microsoft.com/office/spreadsheetml/2009/9/main" objectType="CheckBox" fmlaLink="$M$27" lockText="1" noThreeD="1"/>
</file>

<file path=xl/ctrlProps/ctrlProp17.xml><?xml version="1.0" encoding="utf-8"?>
<formControlPr xmlns="http://schemas.microsoft.com/office/spreadsheetml/2009/9/main" objectType="CheckBox" fmlaLink="$M$28" lockText="1" noThreeD="1"/>
</file>

<file path=xl/ctrlProps/ctrlProp18.xml><?xml version="1.0" encoding="utf-8"?>
<formControlPr xmlns="http://schemas.microsoft.com/office/spreadsheetml/2009/9/main" objectType="CheckBox" fmlaLink="$M$30" lockText="1" noThreeD="1"/>
</file>

<file path=xl/ctrlProps/ctrlProp19.xml><?xml version="1.0" encoding="utf-8"?>
<formControlPr xmlns="http://schemas.microsoft.com/office/spreadsheetml/2009/9/main" objectType="CheckBox" fmlaLink="$M$31" lockText="1" noThreeD="1"/>
</file>

<file path=xl/ctrlProps/ctrlProp20.xml><?xml version="1.0" encoding="utf-8"?>
<formControlPr xmlns="http://schemas.microsoft.com/office/spreadsheetml/2009/9/main" objectType="CheckBox" fmlaLink="$M$32"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523875</xdr:colOff>
          <xdr:row>14</xdr:row>
          <xdr:rowOff>104775</xdr:rowOff>
        </xdr:from>
        <xdr:to>
          <xdr:col>1</xdr:col>
          <xdr:colOff>819150</xdr:colOff>
          <xdr:row>16</xdr:row>
          <xdr:rowOff>28575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15</xdr:row>
          <xdr:rowOff>104775</xdr:rowOff>
        </xdr:from>
        <xdr:to>
          <xdr:col>1</xdr:col>
          <xdr:colOff>819150</xdr:colOff>
          <xdr:row>17</xdr:row>
          <xdr:rowOff>38100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16</xdr:row>
          <xdr:rowOff>114300</xdr:rowOff>
        </xdr:from>
        <xdr:to>
          <xdr:col>1</xdr:col>
          <xdr:colOff>819150</xdr:colOff>
          <xdr:row>18</xdr:row>
          <xdr:rowOff>57150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41</xdr:row>
          <xdr:rowOff>114300</xdr:rowOff>
        </xdr:from>
        <xdr:to>
          <xdr:col>1</xdr:col>
          <xdr:colOff>800100</xdr:colOff>
          <xdr:row>43</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42</xdr:row>
          <xdr:rowOff>123825</xdr:rowOff>
        </xdr:from>
        <xdr:to>
          <xdr:col>1</xdr:col>
          <xdr:colOff>790575</xdr:colOff>
          <xdr:row>44</xdr:row>
          <xdr:rowOff>28575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43</xdr:row>
          <xdr:rowOff>114300</xdr:rowOff>
        </xdr:from>
        <xdr:to>
          <xdr:col>1</xdr:col>
          <xdr:colOff>800100</xdr:colOff>
          <xdr:row>45</xdr:row>
          <xdr:rowOff>57150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13</xdr:row>
          <xdr:rowOff>104775</xdr:rowOff>
        </xdr:from>
        <xdr:to>
          <xdr:col>1</xdr:col>
          <xdr:colOff>819150</xdr:colOff>
          <xdr:row>15</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552450</xdr:colOff>
          <xdr:row>59</xdr:row>
          <xdr:rowOff>133350</xdr:rowOff>
        </xdr:from>
        <xdr:to>
          <xdr:col>1</xdr:col>
          <xdr:colOff>781050</xdr:colOff>
          <xdr:row>61</xdr:row>
          <xdr:rowOff>38100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552450</xdr:colOff>
          <xdr:row>60</xdr:row>
          <xdr:rowOff>133350</xdr:rowOff>
        </xdr:from>
        <xdr:to>
          <xdr:col>1</xdr:col>
          <xdr:colOff>781050</xdr:colOff>
          <xdr:row>62</xdr:row>
          <xdr:rowOff>57150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552450</xdr:colOff>
          <xdr:row>61</xdr:row>
          <xdr:rowOff>133350</xdr:rowOff>
        </xdr:from>
        <xdr:to>
          <xdr:col>1</xdr:col>
          <xdr:colOff>781050</xdr:colOff>
          <xdr:row>63</xdr:row>
          <xdr:rowOff>57150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514350</xdr:colOff>
          <xdr:row>74</xdr:row>
          <xdr:rowOff>104775</xdr:rowOff>
        </xdr:from>
        <xdr:to>
          <xdr:col>1</xdr:col>
          <xdr:colOff>819150</xdr:colOff>
          <xdr:row>76</xdr:row>
          <xdr:rowOff>38100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514350</xdr:colOff>
          <xdr:row>75</xdr:row>
          <xdr:rowOff>104775</xdr:rowOff>
        </xdr:from>
        <xdr:to>
          <xdr:col>1</xdr:col>
          <xdr:colOff>819150</xdr:colOff>
          <xdr:row>77</xdr:row>
          <xdr:rowOff>38100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514350</xdr:colOff>
          <xdr:row>76</xdr:row>
          <xdr:rowOff>104775</xdr:rowOff>
        </xdr:from>
        <xdr:to>
          <xdr:col>1</xdr:col>
          <xdr:colOff>819150</xdr:colOff>
          <xdr:row>78</xdr:row>
          <xdr:rowOff>38100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542925</xdr:colOff>
          <xdr:row>23</xdr:row>
          <xdr:rowOff>104775</xdr:rowOff>
        </xdr:from>
        <xdr:to>
          <xdr:col>1</xdr:col>
          <xdr:colOff>790575</xdr:colOff>
          <xdr:row>25</xdr:row>
          <xdr:rowOff>28575</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542925</xdr:colOff>
          <xdr:row>24</xdr:row>
          <xdr:rowOff>104775</xdr:rowOff>
        </xdr:from>
        <xdr:to>
          <xdr:col>1</xdr:col>
          <xdr:colOff>790575</xdr:colOff>
          <xdr:row>26</xdr:row>
          <xdr:rowOff>28575</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542925</xdr:colOff>
          <xdr:row>25</xdr:row>
          <xdr:rowOff>114300</xdr:rowOff>
        </xdr:from>
        <xdr:to>
          <xdr:col>1</xdr:col>
          <xdr:colOff>790575</xdr:colOff>
          <xdr:row>27</xdr:row>
          <xdr:rowOff>38100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0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542925</xdr:colOff>
          <xdr:row>26</xdr:row>
          <xdr:rowOff>133350</xdr:rowOff>
        </xdr:from>
        <xdr:to>
          <xdr:col>1</xdr:col>
          <xdr:colOff>790575</xdr:colOff>
          <xdr:row>28</xdr:row>
          <xdr:rowOff>57150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0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542925</xdr:colOff>
          <xdr:row>28</xdr:row>
          <xdr:rowOff>114300</xdr:rowOff>
        </xdr:from>
        <xdr:to>
          <xdr:col>1</xdr:col>
          <xdr:colOff>790575</xdr:colOff>
          <xdr:row>30</xdr:row>
          <xdr:rowOff>57150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0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542925</xdr:colOff>
          <xdr:row>29</xdr:row>
          <xdr:rowOff>123825</xdr:rowOff>
        </xdr:from>
        <xdr:to>
          <xdr:col>1</xdr:col>
          <xdr:colOff>790575</xdr:colOff>
          <xdr:row>31</xdr:row>
          <xdr:rowOff>57150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0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542925</xdr:colOff>
          <xdr:row>30</xdr:row>
          <xdr:rowOff>133350</xdr:rowOff>
        </xdr:from>
        <xdr:to>
          <xdr:col>1</xdr:col>
          <xdr:colOff>790575</xdr:colOff>
          <xdr:row>32</xdr:row>
          <xdr:rowOff>57150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0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1AE85-885F-4B11-8583-10CE0D80C520}">
  <sheetPr>
    <pageSetUpPr fitToPage="1"/>
  </sheetPr>
  <dimension ref="B1:S110"/>
  <sheetViews>
    <sheetView showGridLines="0" tabSelected="1" zoomScaleNormal="100" workbookViewId="0">
      <selection activeCell="G41" sqref="G41"/>
    </sheetView>
  </sheetViews>
  <sheetFormatPr defaultColWidth="9.140625" defaultRowHeight="12"/>
  <cols>
    <col min="1" max="1" width="0.7109375" style="1" customWidth="1"/>
    <col min="2" max="2" width="15.5703125" style="8" customWidth="1"/>
    <col min="3" max="3" width="18.42578125" style="8" customWidth="1"/>
    <col min="4" max="4" width="16.28515625" style="8" customWidth="1"/>
    <col min="5" max="5" width="8.5703125" style="8" customWidth="1"/>
    <col min="6" max="6" width="3.85546875" style="8" customWidth="1"/>
    <col min="7" max="7" width="11.140625" style="8" customWidth="1"/>
    <col min="8" max="8" width="10.42578125" style="8" customWidth="1"/>
    <col min="9" max="9" width="9.85546875" style="8" customWidth="1"/>
    <col min="10" max="10" width="12.85546875" style="8" customWidth="1"/>
    <col min="11" max="11" width="16.85546875" style="8" customWidth="1"/>
    <col min="12" max="12" width="1.28515625" style="1" customWidth="1"/>
    <col min="13" max="16384" width="9.140625" style="1"/>
  </cols>
  <sheetData>
    <row r="1" spans="2:13" ht="12.75" customHeight="1">
      <c r="B1" s="10"/>
      <c r="C1" s="138" t="s">
        <v>52</v>
      </c>
      <c r="D1" s="138"/>
      <c r="E1" s="138"/>
      <c r="F1" s="138"/>
      <c r="G1" s="138"/>
      <c r="H1" s="138"/>
      <c r="I1" s="138"/>
      <c r="J1" s="138"/>
      <c r="K1" s="11"/>
      <c r="L1" s="12"/>
    </row>
    <row r="2" spans="2:13" ht="12.75" customHeight="1">
      <c r="B2" s="13"/>
      <c r="C2" s="139"/>
      <c r="D2" s="139"/>
      <c r="E2" s="139"/>
      <c r="F2" s="139"/>
      <c r="G2" s="139"/>
      <c r="H2" s="139"/>
      <c r="I2" s="139"/>
      <c r="J2" s="139"/>
      <c r="L2" s="14"/>
    </row>
    <row r="3" spans="2:13" ht="12.75" customHeight="1" thickBot="1">
      <c r="B3" s="13"/>
      <c r="L3" s="14"/>
    </row>
    <row r="4" spans="2:13" ht="12.75" thickBot="1">
      <c r="B4" s="15" t="s">
        <v>0</v>
      </c>
      <c r="C4" s="124" t="s">
        <v>95</v>
      </c>
      <c r="D4" s="125"/>
      <c r="E4" s="16"/>
      <c r="F4" s="16"/>
      <c r="H4" s="141" t="s">
        <v>1</v>
      </c>
      <c r="I4" s="141"/>
      <c r="J4" s="124"/>
      <c r="K4" s="125"/>
      <c r="L4" s="14"/>
    </row>
    <row r="5" spans="2:13" ht="12.75" thickBot="1">
      <c r="B5" s="15" t="s">
        <v>2</v>
      </c>
      <c r="C5" s="124" t="s">
        <v>96</v>
      </c>
      <c r="D5" s="125"/>
      <c r="E5" s="16"/>
      <c r="F5" s="16"/>
      <c r="H5" s="17" t="s">
        <v>57</v>
      </c>
      <c r="J5" s="142">
        <f ca="1">NOW()</f>
        <v>45671.679468518516</v>
      </c>
      <c r="K5" s="143"/>
      <c r="L5" s="14"/>
    </row>
    <row r="6" spans="2:13" ht="12.75" thickBot="1">
      <c r="B6" s="13"/>
      <c r="L6" s="14"/>
    </row>
    <row r="7" spans="2:13" ht="9.75" thickBot="1">
      <c r="B7" s="144" t="s">
        <v>3</v>
      </c>
      <c r="C7" s="145"/>
      <c r="D7" s="145"/>
      <c r="E7" s="145"/>
      <c r="F7" s="145"/>
      <c r="G7" s="145"/>
      <c r="H7" s="145"/>
      <c r="I7" s="145"/>
      <c r="J7" s="145"/>
      <c r="K7" s="145"/>
      <c r="L7" s="146"/>
    </row>
    <row r="8" spans="2:13" ht="12.75" thickBot="1">
      <c r="B8" s="18"/>
      <c r="C8" s="19"/>
      <c r="D8" s="19"/>
      <c r="E8" s="19"/>
      <c r="F8" s="19"/>
      <c r="G8" s="19"/>
      <c r="H8" s="19"/>
      <c r="I8" s="19"/>
      <c r="J8" s="19"/>
      <c r="K8" s="19"/>
      <c r="L8" s="20"/>
      <c r="M8" s="88"/>
    </row>
    <row r="9" spans="2:13" ht="12.75" thickBot="1">
      <c r="B9" s="82" t="s">
        <v>4</v>
      </c>
      <c r="C9" s="83"/>
      <c r="L9" s="14"/>
      <c r="M9" s="88"/>
    </row>
    <row r="10" spans="2:13" ht="12.75" thickBot="1">
      <c r="B10" s="13"/>
      <c r="C10" s="84">
        <v>29</v>
      </c>
      <c r="D10" s="21" t="s">
        <v>5</v>
      </c>
      <c r="E10" s="22"/>
      <c r="G10" s="5">
        <v>40</v>
      </c>
      <c r="H10" s="23" t="s">
        <v>6</v>
      </c>
      <c r="I10" s="16" t="s">
        <v>7</v>
      </c>
      <c r="J10" s="92">
        <f>C10*G10*52/12</f>
        <v>5026.666666666667</v>
      </c>
      <c r="K10" s="78" t="s">
        <v>8</v>
      </c>
      <c r="L10" s="14"/>
      <c r="M10" s="88"/>
    </row>
    <row r="11" spans="2:13" ht="12.75" thickBot="1">
      <c r="B11" s="13"/>
      <c r="C11" s="4">
        <v>13282</v>
      </c>
      <c r="D11" s="13" t="s">
        <v>9</v>
      </c>
      <c r="E11" s="24"/>
      <c r="G11" s="5">
        <v>3.4</v>
      </c>
      <c r="H11" s="25" t="s">
        <v>10</v>
      </c>
      <c r="J11" s="92">
        <f>IF(G11=0,"",C11/G11)</f>
        <v>3906.4705882352941</v>
      </c>
      <c r="K11" s="78" t="s">
        <v>8</v>
      </c>
      <c r="L11" s="14"/>
      <c r="M11" s="88"/>
    </row>
    <row r="12" spans="2:13" ht="12.75" thickBot="1">
      <c r="B12" s="13"/>
      <c r="C12" s="4">
        <v>55119</v>
      </c>
      <c r="D12" s="13" t="s">
        <v>58</v>
      </c>
      <c r="E12" s="6">
        <v>2023</v>
      </c>
      <c r="G12" s="5">
        <v>12</v>
      </c>
      <c r="H12" s="25" t="s">
        <v>10</v>
      </c>
      <c r="J12" s="92">
        <f>IF(G12=0,"",C12/G12)</f>
        <v>4593.25</v>
      </c>
      <c r="K12" s="78" t="s">
        <v>8</v>
      </c>
      <c r="L12" s="14"/>
      <c r="M12" s="88"/>
    </row>
    <row r="13" spans="2:13" ht="12.75" thickBot="1">
      <c r="B13" s="13"/>
      <c r="C13" s="4">
        <v>0</v>
      </c>
      <c r="D13" s="26" t="s">
        <v>58</v>
      </c>
      <c r="E13" s="6"/>
      <c r="G13" s="5">
        <v>0</v>
      </c>
      <c r="H13" s="27" t="s">
        <v>10</v>
      </c>
      <c r="J13" s="92" t="str">
        <f>IF(G13=0,"",C13/G13)</f>
        <v/>
      </c>
      <c r="K13" s="78" t="s">
        <v>8</v>
      </c>
      <c r="L13" s="14"/>
      <c r="M13" s="88"/>
    </row>
    <row r="14" spans="2:13" ht="12.75" thickBot="1">
      <c r="B14" s="28"/>
      <c r="G14" s="89"/>
      <c r="L14" s="14"/>
      <c r="M14" s="88"/>
    </row>
    <row r="15" spans="2:13" ht="12.75" thickBot="1">
      <c r="B15" s="79"/>
      <c r="C15" s="92">
        <f>J10</f>
        <v>5026.666666666667</v>
      </c>
      <c r="D15" s="29" t="s">
        <v>5</v>
      </c>
      <c r="E15" s="22"/>
      <c r="G15" s="90" t="b">
        <v>0</v>
      </c>
      <c r="L15" s="14"/>
    </row>
    <row r="16" spans="2:13" ht="12.75" thickBot="1">
      <c r="B16" s="79"/>
      <c r="C16" s="92">
        <f>J11</f>
        <v>3906.4705882352941</v>
      </c>
      <c r="D16" s="13" t="s">
        <v>12</v>
      </c>
      <c r="E16" s="30"/>
      <c r="G16" s="90" t="b">
        <v>0</v>
      </c>
      <c r="L16" s="14"/>
    </row>
    <row r="17" spans="2:13" ht="12.75" thickBot="1">
      <c r="B17" s="79"/>
      <c r="C17" s="92">
        <f>IF(SUM(C12)=0,"",SUM(C11+C12)/SUM(G11+G12))</f>
        <v>4441.6233766233763</v>
      </c>
      <c r="D17" s="13" t="s">
        <v>13</v>
      </c>
      <c r="E17" s="30"/>
      <c r="G17" s="90" t="b">
        <v>1</v>
      </c>
      <c r="L17" s="14"/>
    </row>
    <row r="18" spans="2:13" ht="12.75" thickBot="1">
      <c r="B18" s="79"/>
      <c r="C18" s="92" t="str">
        <f>IF(SUM(C13)=0,"",SUM(C11:C13)/SUM(G11:G13))</f>
        <v/>
      </c>
      <c r="D18" s="26" t="s">
        <v>14</v>
      </c>
      <c r="E18" s="31"/>
      <c r="G18" s="90" t="b">
        <v>0</v>
      </c>
      <c r="L18" s="14"/>
    </row>
    <row r="19" spans="2:13" ht="12.75" thickBot="1">
      <c r="B19" s="28"/>
      <c r="G19" s="89"/>
      <c r="L19" s="14"/>
    </row>
    <row r="20" spans="2:13" ht="12.75" thickBot="1">
      <c r="B20" s="13"/>
      <c r="C20" s="93">
        <f>MIN(C15:C18)</f>
        <v>3906.4705882352941</v>
      </c>
      <c r="D20" s="32" t="s">
        <v>15</v>
      </c>
      <c r="E20" s="33"/>
      <c r="F20" s="122" t="s">
        <v>67</v>
      </c>
      <c r="G20" s="123"/>
      <c r="H20" s="123"/>
      <c r="I20" s="123"/>
      <c r="J20" s="92">
        <f>IF(G15=TRUE,C15,IF(G16=TRUE,C16,IF(G17=TRUE,C17,IF(G18=TRUE,C18,0))))</f>
        <v>4441.6233766233763</v>
      </c>
      <c r="K20" s="34">
        <f>IF(J20=0,C20,J20)</f>
        <v>4441.6233766233763</v>
      </c>
      <c r="L20" s="14"/>
    </row>
    <row r="21" spans="2:13">
      <c r="B21" s="13"/>
      <c r="L21" s="14"/>
      <c r="M21" s="88"/>
    </row>
    <row r="22" spans="2:13" ht="12.75" thickBot="1">
      <c r="B22" s="13"/>
      <c r="L22" s="14"/>
      <c r="M22" s="88"/>
    </row>
    <row r="23" spans="2:13" ht="12.75" thickBot="1">
      <c r="B23" s="82" t="s">
        <v>16</v>
      </c>
      <c r="C23" s="83"/>
      <c r="D23" s="45" t="s">
        <v>17</v>
      </c>
      <c r="E23" s="35"/>
      <c r="F23" s="16"/>
      <c r="L23" s="14"/>
      <c r="M23" s="88"/>
    </row>
    <row r="24" spans="2:13" ht="12.75" thickBot="1">
      <c r="B24" s="13"/>
      <c r="L24" s="14"/>
      <c r="M24" s="91"/>
    </row>
    <row r="25" spans="2:13" ht="12.75" thickBot="1">
      <c r="B25" s="80"/>
      <c r="C25" s="4"/>
      <c r="D25" s="21" t="s">
        <v>18</v>
      </c>
      <c r="E25" s="21"/>
      <c r="F25" s="21"/>
      <c r="G25" s="21" t="s">
        <v>21</v>
      </c>
      <c r="H25" s="21"/>
      <c r="I25" s="36" t="s">
        <v>53</v>
      </c>
      <c r="J25" s="92">
        <f>C25*1</f>
        <v>0</v>
      </c>
      <c r="K25" s="23" t="s">
        <v>8</v>
      </c>
      <c r="L25" s="14"/>
      <c r="M25" s="86" t="b">
        <v>0</v>
      </c>
    </row>
    <row r="26" spans="2:13" ht="12.75" thickBot="1">
      <c r="B26" s="80"/>
      <c r="C26" s="4"/>
      <c r="D26" s="8" t="s">
        <v>19</v>
      </c>
      <c r="G26" s="8" t="s">
        <v>22</v>
      </c>
      <c r="I26" s="37" t="s">
        <v>53</v>
      </c>
      <c r="J26" s="92">
        <f>C26*26/12</f>
        <v>0</v>
      </c>
      <c r="K26" s="25" t="s">
        <v>8</v>
      </c>
      <c r="L26" s="14"/>
      <c r="M26" s="86" t="b">
        <v>0</v>
      </c>
    </row>
    <row r="27" spans="2:13" ht="12.75" thickBot="1">
      <c r="B27" s="80"/>
      <c r="C27" s="4"/>
      <c r="D27" s="8" t="s">
        <v>69</v>
      </c>
      <c r="G27" s="8" t="s">
        <v>23</v>
      </c>
      <c r="I27" s="8" t="s">
        <v>53</v>
      </c>
      <c r="J27" s="92">
        <f>C27*24/12</f>
        <v>0</v>
      </c>
      <c r="K27" s="25" t="s">
        <v>8</v>
      </c>
      <c r="L27" s="14"/>
      <c r="M27" s="86" t="b">
        <v>0</v>
      </c>
    </row>
    <row r="28" spans="2:13" ht="12.75" thickBot="1">
      <c r="B28" s="80"/>
      <c r="C28" s="4"/>
      <c r="D28" s="38" t="s">
        <v>20</v>
      </c>
      <c r="E28" s="38"/>
      <c r="F28" s="38"/>
      <c r="G28" s="38" t="s">
        <v>7</v>
      </c>
      <c r="H28" s="38"/>
      <c r="I28" s="39" t="s">
        <v>53</v>
      </c>
      <c r="J28" s="92">
        <f>C28*52/12</f>
        <v>0</v>
      </c>
      <c r="K28" s="27" t="s">
        <v>8</v>
      </c>
      <c r="L28" s="14"/>
      <c r="M28" s="86" t="b">
        <v>0</v>
      </c>
    </row>
    <row r="29" spans="2:13" ht="12.75" thickBot="1">
      <c r="B29" s="13"/>
      <c r="L29" s="14"/>
      <c r="M29" s="86" t="b">
        <v>0</v>
      </c>
    </row>
    <row r="30" spans="2:13" ht="12.75" thickBot="1">
      <c r="B30" s="80"/>
      <c r="C30" s="4"/>
      <c r="D30" s="21" t="s">
        <v>54</v>
      </c>
      <c r="E30" s="21"/>
      <c r="F30" s="40"/>
      <c r="G30" s="5">
        <v>0</v>
      </c>
      <c r="H30" s="23" t="s">
        <v>10</v>
      </c>
      <c r="I30" s="8" t="s">
        <v>11</v>
      </c>
      <c r="J30" s="92" t="str">
        <f>IF(G30=0,"",C30/G30)</f>
        <v/>
      </c>
      <c r="K30" s="23" t="s">
        <v>65</v>
      </c>
      <c r="L30" s="14"/>
      <c r="M30" s="86" t="b">
        <v>0</v>
      </c>
    </row>
    <row r="31" spans="2:13" ht="12.75" thickBot="1">
      <c r="B31" s="80"/>
      <c r="C31" s="4"/>
      <c r="D31" s="8" t="s">
        <v>48</v>
      </c>
      <c r="G31" s="5">
        <v>0</v>
      </c>
      <c r="H31" s="25" t="s">
        <v>10</v>
      </c>
      <c r="J31" s="92" t="str">
        <f>IF(G31=0,"",C31/G31)</f>
        <v/>
      </c>
      <c r="K31" s="25" t="s">
        <v>8</v>
      </c>
      <c r="L31" s="14"/>
      <c r="M31" s="86" t="b">
        <v>0</v>
      </c>
    </row>
    <row r="32" spans="2:13" ht="12.75" thickBot="1">
      <c r="B32" s="80"/>
      <c r="C32" s="4"/>
      <c r="D32" s="38" t="s">
        <v>24</v>
      </c>
      <c r="E32" s="38"/>
      <c r="F32" s="41"/>
      <c r="G32" s="5">
        <v>0</v>
      </c>
      <c r="H32" s="27" t="s">
        <v>10</v>
      </c>
      <c r="J32" s="92" t="str">
        <f>IF(G32=0,"",C32/G32)</f>
        <v/>
      </c>
      <c r="K32" s="27" t="s">
        <v>8</v>
      </c>
      <c r="L32" s="14"/>
      <c r="M32" s="86" t="b">
        <v>0</v>
      </c>
    </row>
    <row r="33" spans="2:13" ht="12.75" thickBot="1">
      <c r="B33" s="13"/>
      <c r="L33" s="14"/>
      <c r="M33" s="86" t="b">
        <v>0</v>
      </c>
    </row>
    <row r="34" spans="2:13" ht="12.75" thickBot="1">
      <c r="B34" s="13"/>
      <c r="C34" s="93">
        <f>IF(M25=TRUE,J25,IF(M26=TRUE,J26,IF(M27=TRUE,J27,IF(M28=TRUE,J28,IF(M30=TRUE,J30,IF(M31=TRUE,J31,IF(M32=TRUE,J32,0)))))))</f>
        <v>0</v>
      </c>
      <c r="D34" s="147" t="s">
        <v>63</v>
      </c>
      <c r="E34" s="148"/>
      <c r="F34" s="122" t="s">
        <v>68</v>
      </c>
      <c r="G34" s="123"/>
      <c r="H34" s="123"/>
      <c r="I34" s="123"/>
      <c r="J34" s="149" t="s">
        <v>75</v>
      </c>
      <c r="K34" s="149"/>
      <c r="L34" s="14"/>
      <c r="M34" s="86" t="b">
        <v>0</v>
      </c>
    </row>
    <row r="35" spans="2:13" ht="10.5" customHeight="1">
      <c r="B35" s="42"/>
      <c r="J35" s="140" t="s">
        <v>76</v>
      </c>
      <c r="K35" s="140"/>
      <c r="L35" s="43"/>
      <c r="M35" s="91"/>
    </row>
    <row r="36" spans="2:13" ht="12.75" thickBot="1">
      <c r="B36" s="13"/>
      <c r="J36" s="44"/>
      <c r="K36" s="44"/>
      <c r="L36" s="43"/>
      <c r="M36" s="91"/>
    </row>
    <row r="37" spans="2:13" ht="12.75" thickBot="1">
      <c r="B37" s="82" t="s">
        <v>28</v>
      </c>
      <c r="C37" s="83"/>
      <c r="D37" s="150" t="s">
        <v>66</v>
      </c>
      <c r="E37" s="150"/>
      <c r="F37" s="150"/>
      <c r="G37" s="151"/>
      <c r="L37" s="14"/>
      <c r="M37" s="88"/>
    </row>
    <row r="38" spans="2:13" ht="12.75" thickBot="1">
      <c r="B38" s="13"/>
      <c r="K38" s="38"/>
      <c r="L38" s="14"/>
      <c r="M38" s="88"/>
    </row>
    <row r="39" spans="2:13" ht="12.75" thickBot="1">
      <c r="B39" s="13"/>
      <c r="C39" s="4">
        <v>4828.5</v>
      </c>
      <c r="D39" s="29" t="s">
        <v>71</v>
      </c>
      <c r="E39" s="21"/>
      <c r="F39" s="40"/>
      <c r="G39" s="5">
        <v>3.4</v>
      </c>
      <c r="H39" s="46" t="s">
        <v>10</v>
      </c>
      <c r="J39" s="92">
        <f>IF(G39=0,"",C39/G39)</f>
        <v>1420.1470588235295</v>
      </c>
      <c r="K39" s="25" t="s">
        <v>8</v>
      </c>
      <c r="L39" s="14"/>
    </row>
    <row r="40" spans="2:13" ht="12.75" thickBot="1">
      <c r="B40" s="13"/>
      <c r="C40" s="4">
        <v>20228.25</v>
      </c>
      <c r="D40" s="8" t="s">
        <v>55</v>
      </c>
      <c r="G40" s="5">
        <v>12</v>
      </c>
      <c r="H40" s="47" t="s">
        <v>10</v>
      </c>
      <c r="J40" s="92">
        <f>IF(G40=0,"",C40/G40)</f>
        <v>1685.6875</v>
      </c>
      <c r="K40" s="25" t="s">
        <v>8</v>
      </c>
      <c r="L40" s="14"/>
    </row>
    <row r="41" spans="2:13" ht="12.75" thickBot="1">
      <c r="B41" s="13"/>
      <c r="C41" s="4">
        <v>0</v>
      </c>
      <c r="D41" s="26" t="s">
        <v>70</v>
      </c>
      <c r="E41" s="38"/>
      <c r="F41" s="41"/>
      <c r="G41" s="5">
        <v>0</v>
      </c>
      <c r="H41" s="48" t="s">
        <v>10</v>
      </c>
      <c r="J41" s="92" t="str">
        <f>IF(G41=0,"",C41/G41)</f>
        <v/>
      </c>
      <c r="K41" s="27" t="s">
        <v>8</v>
      </c>
      <c r="L41" s="14"/>
    </row>
    <row r="42" spans="2:13" ht="12.75" thickBot="1">
      <c r="B42" s="13"/>
      <c r="L42" s="14"/>
    </row>
    <row r="43" spans="2:13" ht="13.5" customHeight="1" thickBot="1">
      <c r="B43" s="80"/>
      <c r="C43" s="92">
        <f>J39</f>
        <v>1420.1470588235295</v>
      </c>
      <c r="D43" s="22" t="s">
        <v>12</v>
      </c>
      <c r="G43" s="85" t="b">
        <v>1</v>
      </c>
      <c r="H43" s="140" t="s">
        <v>72</v>
      </c>
      <c r="I43" s="140"/>
      <c r="J43" s="140"/>
      <c r="K43" s="140"/>
      <c r="L43" s="14"/>
    </row>
    <row r="44" spans="2:13" ht="12.75" thickBot="1">
      <c r="B44" s="80"/>
      <c r="C44" s="92">
        <f>IF(SUM(C40)=0,"",SUM(C39:C40)/SUM(G39:G40))</f>
        <v>1627.0616883116884</v>
      </c>
      <c r="D44" s="30" t="s">
        <v>25</v>
      </c>
      <c r="G44" s="85" t="b">
        <v>0</v>
      </c>
      <c r="H44" s="140"/>
      <c r="I44" s="140"/>
      <c r="J44" s="140"/>
      <c r="K44" s="140"/>
      <c r="L44" s="14"/>
    </row>
    <row r="45" spans="2:13" ht="12.75" thickBot="1">
      <c r="B45" s="80"/>
      <c r="C45" s="92" t="str">
        <f>IF(SUM(C41)=0,"",SUM(C39:C41)/SUM(G39:G41))</f>
        <v/>
      </c>
      <c r="D45" s="31" t="s">
        <v>26</v>
      </c>
      <c r="G45" s="85" t="b">
        <v>0</v>
      </c>
      <c r="H45" s="140"/>
      <c r="I45" s="140"/>
      <c r="J45" s="140"/>
      <c r="K45" s="140"/>
      <c r="L45" s="14"/>
    </row>
    <row r="46" spans="2:13" ht="12.75" thickBot="1">
      <c r="B46" s="13"/>
      <c r="L46" s="14"/>
    </row>
    <row r="47" spans="2:13" ht="12.75" thickBot="1">
      <c r="B47" s="13"/>
      <c r="C47" s="93">
        <f>MIN(C43:C45)</f>
        <v>1420.1470588235295</v>
      </c>
      <c r="D47" s="49" t="s">
        <v>27</v>
      </c>
      <c r="E47" s="49"/>
      <c r="F47" s="122" t="s">
        <v>67</v>
      </c>
      <c r="G47" s="123"/>
      <c r="H47" s="123"/>
      <c r="I47" s="123"/>
      <c r="J47" s="92">
        <f>IF(G43=TRUE,C43,IF(G44=TRUE,C44,IF(G45=TRUE,C45,0)))</f>
        <v>1420.1470588235295</v>
      </c>
      <c r="K47" s="34">
        <f>IF(J47=0,C47,J47)</f>
        <v>1420.1470588235295</v>
      </c>
      <c r="L47" s="14"/>
    </row>
    <row r="48" spans="2:13">
      <c r="B48" s="13"/>
      <c r="L48" s="14"/>
    </row>
    <row r="49" spans="2:12" ht="12.75" thickBot="1">
      <c r="B49" s="13"/>
      <c r="L49" s="14"/>
    </row>
    <row r="50" spans="2:12" ht="12.75" thickBot="1">
      <c r="B50" s="82" t="s">
        <v>29</v>
      </c>
      <c r="C50" s="83"/>
      <c r="D50" s="150" t="s">
        <v>30</v>
      </c>
      <c r="E50" s="150"/>
      <c r="F50" s="150"/>
      <c r="G50" s="151"/>
      <c r="L50" s="14"/>
    </row>
    <row r="51" spans="2:12" ht="12.75" thickBot="1">
      <c r="B51" s="13"/>
      <c r="L51" s="14"/>
    </row>
    <row r="52" spans="2:12" ht="12.75" thickBot="1">
      <c r="B52" s="13"/>
      <c r="C52" s="4">
        <v>0</v>
      </c>
      <c r="D52" s="21" t="s">
        <v>31</v>
      </c>
      <c r="E52" s="21"/>
      <c r="F52" s="21"/>
      <c r="G52" s="152" t="s">
        <v>73</v>
      </c>
      <c r="H52" s="153"/>
      <c r="I52" s="94">
        <f>SUM(K65*C52)</f>
        <v>0</v>
      </c>
      <c r="J52" s="158" t="s">
        <v>77</v>
      </c>
      <c r="K52" s="159"/>
      <c r="L52" s="50"/>
    </row>
    <row r="53" spans="2:12" ht="12.75" thickBot="1">
      <c r="B53" s="13"/>
      <c r="C53" s="4">
        <v>0</v>
      </c>
      <c r="D53" s="8" t="s">
        <v>32</v>
      </c>
      <c r="G53" s="160" t="s">
        <v>73</v>
      </c>
      <c r="H53" s="161"/>
      <c r="I53" s="4">
        <v>0</v>
      </c>
      <c r="J53" s="162" t="s">
        <v>34</v>
      </c>
      <c r="K53" s="163"/>
      <c r="L53" s="14"/>
    </row>
    <row r="54" spans="2:12" ht="12.75" thickBot="1">
      <c r="B54" s="13"/>
      <c r="C54" s="4">
        <v>0</v>
      </c>
      <c r="D54" s="38" t="s">
        <v>33</v>
      </c>
      <c r="E54" s="38"/>
      <c r="F54" s="38"/>
      <c r="G54" s="164" t="s">
        <v>73</v>
      </c>
      <c r="H54" s="165"/>
      <c r="I54" s="4">
        <v>0</v>
      </c>
      <c r="J54" s="166" t="s">
        <v>35</v>
      </c>
      <c r="K54" s="167"/>
      <c r="L54" s="14"/>
    </row>
    <row r="55" spans="2:12" s="2" customFormat="1">
      <c r="B55" s="51"/>
      <c r="C55" s="7"/>
      <c r="D55" s="52"/>
      <c r="E55" s="52"/>
      <c r="F55" s="52"/>
      <c r="G55" s="53" t="s">
        <v>74</v>
      </c>
      <c r="H55" s="54"/>
      <c r="I55" s="7"/>
      <c r="J55" s="55"/>
      <c r="K55" s="55"/>
      <c r="L55" s="56"/>
    </row>
    <row r="56" spans="2:12" ht="12.75" thickBot="1">
      <c r="B56" s="13"/>
      <c r="L56" s="14"/>
    </row>
    <row r="57" spans="2:12" ht="12.75" thickBot="1">
      <c r="B57" s="13"/>
      <c r="C57" s="94">
        <f>C52-I52</f>
        <v>0</v>
      </c>
      <c r="D57" s="29" t="s">
        <v>36</v>
      </c>
      <c r="E57" s="21"/>
      <c r="F57" s="40"/>
      <c r="G57" s="5">
        <v>0</v>
      </c>
      <c r="H57" s="57" t="s">
        <v>10</v>
      </c>
      <c r="I57" s="92" t="str">
        <f>IF(G57=0,"",C57/G57)</f>
        <v/>
      </c>
      <c r="J57" s="58" t="s">
        <v>49</v>
      </c>
      <c r="L57" s="14"/>
    </row>
    <row r="58" spans="2:12" ht="12.75" thickBot="1">
      <c r="B58" s="13"/>
      <c r="C58" s="92">
        <f>C53-I53</f>
        <v>0</v>
      </c>
      <c r="D58" s="8" t="s">
        <v>37</v>
      </c>
      <c r="G58" s="5">
        <v>0</v>
      </c>
      <c r="H58" s="16" t="s">
        <v>10</v>
      </c>
      <c r="I58" s="92" t="str">
        <f>IF(G58=0,"",C58/G58)</f>
        <v/>
      </c>
      <c r="J58" s="59" t="s">
        <v>49</v>
      </c>
      <c r="L58" s="14"/>
    </row>
    <row r="59" spans="2:12" ht="12.75" thickBot="1">
      <c r="B59" s="13"/>
      <c r="C59" s="92">
        <f>C54-I54</f>
        <v>0</v>
      </c>
      <c r="D59" s="26" t="s">
        <v>37</v>
      </c>
      <c r="E59" s="38"/>
      <c r="F59" s="41"/>
      <c r="G59" s="5">
        <v>0</v>
      </c>
      <c r="H59" s="60" t="s">
        <v>10</v>
      </c>
      <c r="I59" s="92" t="str">
        <f>IF(G59=0,"",C59/G59)</f>
        <v/>
      </c>
      <c r="J59" s="61" t="s">
        <v>49</v>
      </c>
      <c r="L59" s="14"/>
    </row>
    <row r="60" spans="2:12" ht="12.75" thickBot="1">
      <c r="B60" s="13"/>
      <c r="L60" s="14"/>
    </row>
    <row r="61" spans="2:12" ht="12.75" thickBot="1">
      <c r="B61" s="80"/>
      <c r="C61" s="92" t="str">
        <f>I57</f>
        <v/>
      </c>
      <c r="D61" s="62" t="s">
        <v>59</v>
      </c>
      <c r="E61" s="22"/>
      <c r="G61" s="85" t="b">
        <v>0</v>
      </c>
      <c r="I61" s="63" t="s">
        <v>44</v>
      </c>
      <c r="J61" s="36"/>
      <c r="K61" s="64"/>
      <c r="L61" s="14"/>
    </row>
    <row r="62" spans="2:12" ht="12.75" thickBot="1">
      <c r="B62" s="80"/>
      <c r="C62" s="92" t="str">
        <f>IF(SUM(C53)=0,"",SUM(C57:C58)/SUM(G57:G58))</f>
        <v/>
      </c>
      <c r="D62" s="65" t="s">
        <v>60</v>
      </c>
      <c r="E62" s="30"/>
      <c r="G62" s="85" t="b">
        <v>0</v>
      </c>
      <c r="I62" s="66" t="s">
        <v>45</v>
      </c>
      <c r="J62" s="37"/>
      <c r="K62" s="67"/>
      <c r="L62" s="14"/>
    </row>
    <row r="63" spans="2:12" ht="12.75" thickBot="1">
      <c r="B63" s="80"/>
      <c r="C63" s="92" t="str">
        <f>IF(SUM(C54)=0,"",SUM(C57:C59)/SUM(G57:G59))</f>
        <v/>
      </c>
      <c r="D63" s="68" t="s">
        <v>38</v>
      </c>
      <c r="E63" s="31"/>
      <c r="G63" s="85" t="b">
        <v>0</v>
      </c>
      <c r="I63" s="66" t="s">
        <v>29</v>
      </c>
      <c r="J63" s="37"/>
      <c r="K63" s="92">
        <f>C53+C54</f>
        <v>0</v>
      </c>
      <c r="L63" s="14"/>
    </row>
    <row r="64" spans="2:12" ht="12.75" thickBot="1">
      <c r="B64" s="13"/>
      <c r="I64" s="66" t="s">
        <v>46</v>
      </c>
      <c r="J64" s="37"/>
      <c r="K64" s="92">
        <f>I53+I54</f>
        <v>0</v>
      </c>
      <c r="L64" s="14"/>
    </row>
    <row r="65" spans="2:12" ht="12.75" thickBot="1">
      <c r="B65" s="13"/>
      <c r="I65" s="69" t="s">
        <v>47</v>
      </c>
      <c r="J65" s="39"/>
      <c r="K65" s="92">
        <f>IF((K63)=0,0,K64/K63)</f>
        <v>0</v>
      </c>
      <c r="L65" s="14"/>
    </row>
    <row r="66" spans="2:12" ht="12.75" thickBot="1">
      <c r="B66" s="13"/>
      <c r="I66" s="37"/>
      <c r="J66" s="37"/>
      <c r="K66" s="70"/>
      <c r="L66" s="14"/>
    </row>
    <row r="67" spans="2:12" ht="12.75" thickBot="1">
      <c r="B67" s="13"/>
      <c r="C67" s="93">
        <f>MIN(C61:C63)</f>
        <v>0</v>
      </c>
      <c r="D67" s="120" t="s">
        <v>39</v>
      </c>
      <c r="E67" s="121"/>
      <c r="F67" s="122" t="s">
        <v>67</v>
      </c>
      <c r="G67" s="123"/>
      <c r="H67" s="123"/>
      <c r="I67" s="123"/>
      <c r="J67" s="92">
        <f>IF(G61=TRUE,C61,IF(G62=TRUE,C62,IF(G63=TRUE,C63,0)))</f>
        <v>0</v>
      </c>
      <c r="K67" s="34">
        <f>IF(J67=0,C67,J67)</f>
        <v>0</v>
      </c>
      <c r="L67" s="14"/>
    </row>
    <row r="68" spans="2:12">
      <c r="B68" s="13"/>
      <c r="L68" s="14"/>
    </row>
    <row r="69" spans="2:12" ht="12.75" thickBot="1">
      <c r="B69" s="13"/>
      <c r="L69" s="14"/>
    </row>
    <row r="70" spans="2:12" ht="12.75" thickBot="1">
      <c r="B70" s="82" t="s">
        <v>40</v>
      </c>
      <c r="C70" s="83"/>
      <c r="D70" s="81" t="s">
        <v>43</v>
      </c>
      <c r="E70" s="124">
        <v>0</v>
      </c>
      <c r="F70" s="125"/>
      <c r="L70" s="14"/>
    </row>
    <row r="71" spans="2:12" ht="12.75" thickBot="1">
      <c r="B71" s="13"/>
      <c r="L71" s="14"/>
    </row>
    <row r="72" spans="2:12" ht="12.75" thickBot="1">
      <c r="B72" s="13" t="s">
        <v>11</v>
      </c>
      <c r="C72" s="4">
        <v>0</v>
      </c>
      <c r="D72" s="62" t="s">
        <v>41</v>
      </c>
      <c r="G72" s="5">
        <v>0</v>
      </c>
      <c r="H72" s="130" t="s">
        <v>10</v>
      </c>
      <c r="I72" s="131"/>
      <c r="J72" s="92" t="str">
        <f>IF((G72)=0,"",C72/G72)</f>
        <v/>
      </c>
      <c r="K72" s="23" t="s">
        <v>8</v>
      </c>
      <c r="L72" s="14"/>
    </row>
    <row r="73" spans="2:12" ht="12.75" thickBot="1">
      <c r="B73" s="13"/>
      <c r="C73" s="4">
        <v>0</v>
      </c>
      <c r="D73" s="13" t="s">
        <v>61</v>
      </c>
      <c r="E73" s="6">
        <v>0</v>
      </c>
      <c r="G73" s="5">
        <v>0</v>
      </c>
      <c r="H73" s="130" t="s">
        <v>10</v>
      </c>
      <c r="I73" s="131"/>
      <c r="J73" s="92" t="str">
        <f>IF((G73)=0,"",C73/G73)</f>
        <v/>
      </c>
      <c r="K73" s="25" t="s">
        <v>8</v>
      </c>
      <c r="L73" s="14"/>
    </row>
    <row r="74" spans="2:12" ht="12.75" thickBot="1">
      <c r="B74" s="13"/>
      <c r="C74" s="4">
        <v>0</v>
      </c>
      <c r="D74" s="26" t="s">
        <v>61</v>
      </c>
      <c r="E74" s="6">
        <v>0</v>
      </c>
      <c r="G74" s="9">
        <v>0</v>
      </c>
      <c r="H74" s="132" t="s">
        <v>10</v>
      </c>
      <c r="I74" s="132"/>
      <c r="J74" s="95" t="str">
        <f>IF((G74)=0,"",C74/G74)</f>
        <v/>
      </c>
      <c r="K74" s="27" t="s">
        <v>8</v>
      </c>
      <c r="L74" s="14"/>
    </row>
    <row r="75" spans="2:12" ht="12.75" thickBot="1">
      <c r="B75" s="13"/>
      <c r="L75" s="14"/>
    </row>
    <row r="76" spans="2:12" ht="12.75" thickBot="1">
      <c r="B76" s="80"/>
      <c r="C76" s="92" t="str">
        <f>J72</f>
        <v/>
      </c>
      <c r="D76" s="22" t="s">
        <v>42</v>
      </c>
      <c r="G76" s="85" t="b">
        <v>0</v>
      </c>
      <c r="L76" s="14"/>
    </row>
    <row r="77" spans="2:12" ht="12.75" thickBot="1">
      <c r="B77" s="80"/>
      <c r="C77" s="92" t="str">
        <f>IF(SUM(G72:G73)=0,"",SUM(C72:C73)/SUM(G72:G73))</f>
        <v/>
      </c>
      <c r="D77" s="30" t="s">
        <v>50</v>
      </c>
      <c r="G77" s="85" t="b">
        <v>0</v>
      </c>
      <c r="L77" s="14"/>
    </row>
    <row r="78" spans="2:12" ht="12.75" thickBot="1">
      <c r="B78" s="80"/>
      <c r="C78" s="92" t="str">
        <f>IF(SUM(G72:G74)=0,"",SUM(C72:C74)/SUM(G72:G74))</f>
        <v/>
      </c>
      <c r="D78" s="31" t="s">
        <v>51</v>
      </c>
      <c r="G78" s="85" t="b">
        <v>0</v>
      </c>
      <c r="L78" s="14"/>
    </row>
    <row r="79" spans="2:12" ht="12.75" thickBot="1">
      <c r="B79" s="13"/>
      <c r="D79" s="8" t="s">
        <v>11</v>
      </c>
      <c r="L79" s="14"/>
    </row>
    <row r="80" spans="2:12" ht="12.75" thickBot="1">
      <c r="B80" s="13"/>
      <c r="C80" s="93">
        <f>MIN(C76,C77,C78)</f>
        <v>0</v>
      </c>
      <c r="D80" s="120" t="s">
        <v>56</v>
      </c>
      <c r="E80" s="121"/>
      <c r="F80" s="122" t="s">
        <v>67</v>
      </c>
      <c r="G80" s="123"/>
      <c r="H80" s="123"/>
      <c r="I80" s="123"/>
      <c r="J80" s="92">
        <f>IF(G76=TRUE,C76,IF(G77=TRUE,C77,IF(G78=TRUE,C78,0)))</f>
        <v>0</v>
      </c>
      <c r="K80" s="34">
        <f>IF(J80=0,C80,J80)</f>
        <v>0</v>
      </c>
      <c r="L80" s="14"/>
    </row>
    <row r="81" spans="2:19">
      <c r="B81" s="13"/>
      <c r="L81" s="14"/>
    </row>
    <row r="82" spans="2:19" ht="12.75" thickBot="1">
      <c r="B82" s="13"/>
      <c r="L82" s="14"/>
    </row>
    <row r="83" spans="2:19" ht="13.5" customHeight="1" thickBot="1">
      <c r="B83" s="71" t="s">
        <v>85</v>
      </c>
      <c r="C83" s="71"/>
      <c r="D83" s="71"/>
      <c r="E83" s="71"/>
      <c r="F83" s="71"/>
      <c r="G83" s="71"/>
      <c r="H83" s="102"/>
      <c r="I83" s="124">
        <v>0</v>
      </c>
      <c r="J83" s="125"/>
      <c r="L83" s="14"/>
      <c r="M83" s="88"/>
      <c r="N83" s="88"/>
    </row>
    <row r="84" spans="2:19" ht="12.75" thickBot="1">
      <c r="B84" s="106"/>
      <c r="C84" s="101" t="s">
        <v>81</v>
      </c>
      <c r="I84" s="101" t="s">
        <v>94</v>
      </c>
      <c r="L84" s="14"/>
      <c r="R84" s="88"/>
      <c r="S84" s="88"/>
    </row>
    <row r="85" spans="2:19" ht="12.75" thickBot="1">
      <c r="B85" s="107"/>
      <c r="C85" s="4"/>
      <c r="D85" s="110" t="s">
        <v>78</v>
      </c>
      <c r="E85" s="21"/>
      <c r="F85" s="21"/>
      <c r="G85" s="21"/>
      <c r="H85" s="40"/>
      <c r="I85" s="154"/>
      <c r="J85" s="155"/>
      <c r="K85" s="62" t="s">
        <v>92</v>
      </c>
      <c r="L85" s="87" t="b">
        <v>1</v>
      </c>
      <c r="N85" s="2"/>
      <c r="O85" s="2"/>
      <c r="P85" s="2"/>
      <c r="R85" s="88"/>
      <c r="S85" s="88"/>
    </row>
    <row r="86" spans="2:19" ht="12.75" thickBot="1">
      <c r="B86" s="107"/>
      <c r="C86" s="4"/>
      <c r="D86" s="8" t="s">
        <v>79</v>
      </c>
      <c r="E86" s="8" t="s">
        <v>83</v>
      </c>
      <c r="F86" s="133">
        <f>C86*100%</f>
        <v>0</v>
      </c>
      <c r="G86" s="134"/>
      <c r="I86" s="133">
        <f>I85*85%</f>
        <v>0</v>
      </c>
      <c r="J86" s="134"/>
      <c r="K86" s="65" t="s">
        <v>88</v>
      </c>
      <c r="L86" s="87" t="b">
        <v>0</v>
      </c>
      <c r="N86" s="2"/>
      <c r="O86" s="2"/>
      <c r="P86" s="2"/>
      <c r="Q86" s="91"/>
      <c r="R86" s="88"/>
      <c r="S86" s="88"/>
    </row>
    <row r="87" spans="2:19" ht="13.5" customHeight="1" thickBot="1">
      <c r="B87" s="106"/>
      <c r="C87" s="92">
        <f>C85-C86</f>
        <v>0</v>
      </c>
      <c r="D87" s="8" t="s">
        <v>80</v>
      </c>
      <c r="E87" s="8" t="s">
        <v>82</v>
      </c>
      <c r="F87" s="133">
        <f>C87*125%</f>
        <v>0</v>
      </c>
      <c r="G87" s="134"/>
      <c r="I87" s="133">
        <f>I85*15%</f>
        <v>0</v>
      </c>
      <c r="J87" s="134"/>
      <c r="K87" s="65" t="s">
        <v>89</v>
      </c>
      <c r="L87" s="14"/>
      <c r="N87" s="2"/>
      <c r="O87" s="100"/>
      <c r="P87" s="2"/>
      <c r="Q87" s="91"/>
      <c r="R87" s="88"/>
      <c r="S87" s="88"/>
    </row>
    <row r="88" spans="2:19" ht="13.5" customHeight="1" thickBot="1">
      <c r="B88" s="98"/>
      <c r="C88" s="119"/>
      <c r="D88" s="8" t="s">
        <v>10</v>
      </c>
      <c r="E88" s="99" t="s">
        <v>87</v>
      </c>
      <c r="F88" s="133">
        <f>SUM(F86+F87)</f>
        <v>0</v>
      </c>
      <c r="G88" s="134"/>
      <c r="I88" s="133">
        <f>I87*125%</f>
        <v>0</v>
      </c>
      <c r="J88" s="134"/>
      <c r="K88" s="65" t="s">
        <v>91</v>
      </c>
      <c r="L88" s="14"/>
      <c r="N88" s="2"/>
      <c r="O88" s="2"/>
      <c r="P88" s="2"/>
      <c r="Q88" s="91"/>
      <c r="R88" s="88"/>
      <c r="S88" s="88"/>
    </row>
    <row r="89" spans="2:19" ht="13.5" customHeight="1" thickBot="1">
      <c r="B89" s="13"/>
      <c r="C89" s="92">
        <f>IF(C88,F88/C88,0)</f>
        <v>0</v>
      </c>
      <c r="D89" s="38" t="s">
        <v>84</v>
      </c>
      <c r="E89" s="38"/>
      <c r="F89" s="38"/>
      <c r="G89" s="38"/>
      <c r="H89" s="38"/>
      <c r="I89" s="133">
        <f>I86+I88</f>
        <v>0</v>
      </c>
      <c r="J89" s="134"/>
      <c r="K89" s="65" t="s">
        <v>90</v>
      </c>
      <c r="L89" s="14"/>
      <c r="M89" s="3"/>
      <c r="N89" s="3"/>
      <c r="O89" s="3"/>
      <c r="P89" s="2"/>
      <c r="Q89" s="91"/>
      <c r="R89" s="88"/>
      <c r="S89" s="88"/>
    </row>
    <row r="90" spans="2:19" ht="12.75" thickBot="1">
      <c r="B90" s="13"/>
      <c r="I90" s="156"/>
      <c r="J90" s="157"/>
      <c r="K90" s="65" t="s">
        <v>10</v>
      </c>
      <c r="L90" s="14"/>
      <c r="M90" s="3"/>
      <c r="N90" s="3"/>
      <c r="O90" s="3"/>
      <c r="P90" s="2"/>
      <c r="Q90" s="91"/>
      <c r="R90" s="88"/>
      <c r="S90" s="88"/>
    </row>
    <row r="91" spans="2:19" ht="12.75" thickBot="1">
      <c r="B91" s="13"/>
      <c r="I91" s="133">
        <f>IF(I90,I89/I90,0)</f>
        <v>0</v>
      </c>
      <c r="J91" s="134"/>
      <c r="K91" s="68" t="s">
        <v>84</v>
      </c>
      <c r="L91" s="14"/>
      <c r="M91" s="3"/>
      <c r="N91" s="3"/>
      <c r="O91" s="3"/>
      <c r="P91" s="2"/>
      <c r="R91" s="88"/>
      <c r="S91" s="88"/>
    </row>
    <row r="92" spans="2:19" ht="13.5" customHeight="1" thickBot="1">
      <c r="B92" s="108" t="s">
        <v>86</v>
      </c>
      <c r="C92" s="83"/>
      <c r="D92" s="71"/>
      <c r="E92" s="71"/>
      <c r="F92" s="71"/>
      <c r="G92" s="124">
        <v>0</v>
      </c>
      <c r="H92" s="125"/>
      <c r="I92" s="72"/>
      <c r="J92" s="72"/>
      <c r="L92" s="14"/>
      <c r="M92" s="3"/>
      <c r="N92" s="3"/>
      <c r="O92" s="3"/>
      <c r="P92" s="2"/>
      <c r="R92" s="88"/>
      <c r="S92" s="88"/>
    </row>
    <row r="93" spans="2:19" s="3" customFormat="1" ht="12.75" thickBot="1">
      <c r="B93" s="13"/>
      <c r="C93" s="101" t="s">
        <v>81</v>
      </c>
      <c r="D93" s="8"/>
      <c r="E93" s="8"/>
      <c r="F93" s="8"/>
      <c r="G93" s="8"/>
      <c r="H93" s="8"/>
      <c r="I93" s="72"/>
      <c r="J93" s="72"/>
      <c r="K93" s="8"/>
      <c r="L93" s="14"/>
    </row>
    <row r="94" spans="2:19" ht="12.75" thickBot="1">
      <c r="B94" s="80"/>
      <c r="C94" s="4"/>
      <c r="D94" s="110" t="s">
        <v>78</v>
      </c>
      <c r="E94" s="21"/>
      <c r="F94" s="21"/>
      <c r="G94" s="21"/>
      <c r="H94" s="22"/>
      <c r="L94" s="14"/>
      <c r="M94" s="3"/>
    </row>
    <row r="95" spans="2:19" ht="12.75" thickBot="1">
      <c r="B95" s="80"/>
      <c r="C95" s="105"/>
      <c r="D95" s="111" t="s">
        <v>79</v>
      </c>
      <c r="E95" s="8" t="s">
        <v>83</v>
      </c>
      <c r="F95" s="133">
        <f>C95*100%</f>
        <v>0</v>
      </c>
      <c r="G95" s="134"/>
      <c r="H95" s="30"/>
      <c r="L95" s="14"/>
      <c r="M95" s="3"/>
    </row>
    <row r="96" spans="2:19" ht="12.75" thickBot="1">
      <c r="B96" s="96"/>
      <c r="C96" s="92">
        <f>C94-C95</f>
        <v>0</v>
      </c>
      <c r="D96" s="8" t="s">
        <v>80</v>
      </c>
      <c r="E96" s="8" t="s">
        <v>82</v>
      </c>
      <c r="F96" s="133">
        <f>C96*125%</f>
        <v>0</v>
      </c>
      <c r="G96" s="134"/>
      <c r="H96" s="30"/>
      <c r="I96" s="97"/>
      <c r="J96" s="35"/>
      <c r="K96" s="109" t="b">
        <v>0</v>
      </c>
      <c r="L96" s="14"/>
      <c r="M96" s="3"/>
    </row>
    <row r="97" spans="2:15" ht="12.75" thickBot="1">
      <c r="B97" s="98"/>
      <c r="C97" s="119"/>
      <c r="D97" s="8" t="s">
        <v>10</v>
      </c>
      <c r="E97" s="99" t="s">
        <v>87</v>
      </c>
      <c r="F97" s="133">
        <f>SUM(F95+F96)</f>
        <v>0</v>
      </c>
      <c r="G97" s="134"/>
      <c r="H97" s="30"/>
      <c r="I97" s="97"/>
      <c r="J97" s="35"/>
      <c r="K97" s="109" t="b">
        <v>0</v>
      </c>
      <c r="L97" s="14"/>
      <c r="M97" s="3"/>
    </row>
    <row r="98" spans="2:15" ht="12.75" thickBot="1">
      <c r="B98" s="13"/>
      <c r="C98" s="93">
        <f>IF(C97,F97/C97,0)</f>
        <v>0</v>
      </c>
      <c r="D98" s="38" t="s">
        <v>84</v>
      </c>
      <c r="E98" s="38"/>
      <c r="F98" s="38"/>
      <c r="G98" s="38"/>
      <c r="H98" s="31"/>
      <c r="I98" s="103"/>
      <c r="J98" s="104"/>
      <c r="K98" s="1"/>
      <c r="L98" s="14"/>
      <c r="M98" s="3"/>
    </row>
    <row r="99" spans="2:15" ht="12.75" thickBot="1">
      <c r="B99" s="13"/>
      <c r="C99" s="97"/>
      <c r="I99" s="72"/>
      <c r="K99" s="1"/>
      <c r="L99" s="14"/>
      <c r="M99" s="3"/>
      <c r="N99" s="3"/>
      <c r="O99" s="3"/>
    </row>
    <row r="100" spans="2:15" ht="12.75" thickBot="1">
      <c r="B100" s="126" t="s">
        <v>64</v>
      </c>
      <c r="C100" s="127"/>
      <c r="D100" s="92">
        <f>SUM(C89+C98+I91+C34+K20+K47+K67+K80)</f>
        <v>5861.770435446906</v>
      </c>
      <c r="I100" s="72"/>
      <c r="K100" s="1"/>
      <c r="L100" s="14"/>
      <c r="M100" s="3"/>
      <c r="N100" s="3"/>
      <c r="O100" s="3"/>
    </row>
    <row r="101" spans="2:15">
      <c r="B101" s="13"/>
      <c r="C101" s="73"/>
      <c r="D101" s="7"/>
      <c r="E101" s="52"/>
      <c r="F101" s="52"/>
      <c r="G101" s="52"/>
      <c r="H101" s="52"/>
      <c r="I101" s="72"/>
      <c r="J101" s="72"/>
      <c r="L101" s="14"/>
      <c r="M101" s="3"/>
      <c r="N101" s="3"/>
      <c r="O101" s="3"/>
    </row>
    <row r="102" spans="2:15" ht="12.75" thickBot="1">
      <c r="B102" s="74"/>
      <c r="C102" s="75"/>
      <c r="D102" s="75"/>
      <c r="E102" s="75"/>
      <c r="F102" s="75"/>
      <c r="G102" s="75"/>
      <c r="H102" s="75"/>
      <c r="I102" s="72"/>
      <c r="J102" s="72"/>
      <c r="L102" s="76"/>
      <c r="M102" s="3"/>
      <c r="N102" s="3"/>
      <c r="O102" s="3"/>
    </row>
    <row r="103" spans="2:15" ht="30" customHeight="1" thickBot="1">
      <c r="B103" s="128" t="s">
        <v>62</v>
      </c>
      <c r="C103" s="129"/>
      <c r="D103" s="135"/>
      <c r="E103" s="136"/>
      <c r="F103" s="136"/>
      <c r="G103" s="136"/>
      <c r="H103" s="136"/>
      <c r="I103" s="136"/>
      <c r="J103" s="136"/>
      <c r="K103" s="136"/>
      <c r="L103" s="137"/>
      <c r="M103" s="3"/>
      <c r="N103" s="3"/>
      <c r="O103" s="3"/>
    </row>
    <row r="104" spans="2:15" ht="9">
      <c r="B104" s="112"/>
      <c r="C104" s="113"/>
      <c r="D104" s="113"/>
      <c r="E104" s="113"/>
      <c r="F104" s="113"/>
      <c r="G104" s="113"/>
      <c r="H104" s="113"/>
      <c r="I104" s="113"/>
      <c r="J104" s="113"/>
      <c r="K104" s="113"/>
      <c r="L104" s="114"/>
      <c r="M104" s="3"/>
      <c r="N104" s="3"/>
      <c r="O104" s="3"/>
    </row>
    <row r="105" spans="2:15" ht="9">
      <c r="B105" s="112"/>
      <c r="C105" s="113"/>
      <c r="D105" s="113"/>
      <c r="E105" s="113"/>
      <c r="F105" s="113"/>
      <c r="G105" s="113"/>
      <c r="H105" s="113"/>
      <c r="I105" s="113"/>
      <c r="J105" s="113"/>
      <c r="K105" s="113"/>
      <c r="L105" s="114"/>
      <c r="M105" s="3"/>
      <c r="N105" s="3"/>
      <c r="O105" s="3"/>
    </row>
    <row r="106" spans="2:15" ht="9">
      <c r="B106" s="112"/>
      <c r="C106" s="113"/>
      <c r="D106" s="113"/>
      <c r="E106" s="113"/>
      <c r="F106" s="113"/>
      <c r="G106" s="113"/>
      <c r="H106" s="113"/>
      <c r="I106" s="113"/>
      <c r="J106" s="113"/>
      <c r="K106" s="113"/>
      <c r="L106" s="114"/>
      <c r="M106" s="3"/>
      <c r="N106" s="3"/>
      <c r="O106" s="3"/>
    </row>
    <row r="107" spans="2:15" ht="9">
      <c r="B107" s="112"/>
      <c r="C107" s="113"/>
      <c r="D107" s="113"/>
      <c r="E107" s="113"/>
      <c r="F107" s="113"/>
      <c r="G107" s="113"/>
      <c r="H107" s="113"/>
      <c r="I107" s="113"/>
      <c r="J107" s="113"/>
      <c r="K107" s="113"/>
      <c r="L107" s="114"/>
    </row>
    <row r="108" spans="2:15" ht="9.75" thickBot="1">
      <c r="B108" s="115"/>
      <c r="C108" s="116"/>
      <c r="D108" s="116"/>
      <c r="E108" s="116"/>
      <c r="F108" s="116"/>
      <c r="G108" s="116"/>
      <c r="H108" s="116"/>
      <c r="I108" s="116"/>
      <c r="J108" s="116"/>
      <c r="K108" s="116"/>
      <c r="L108" s="117"/>
    </row>
    <row r="109" spans="2:15">
      <c r="C109" s="118"/>
      <c r="D109" s="118"/>
      <c r="E109" s="118"/>
      <c r="F109" s="118"/>
      <c r="G109" s="118"/>
      <c r="H109" s="118"/>
      <c r="I109" s="118"/>
    </row>
    <row r="110" spans="2:15">
      <c r="C110" s="77" t="s">
        <v>93</v>
      </c>
    </row>
  </sheetData>
  <sheetProtection sheet="1" selectLockedCells="1"/>
  <dataConsolidate/>
  <mergeCells count="48">
    <mergeCell ref="F47:I47"/>
    <mergeCell ref="D50:G50"/>
    <mergeCell ref="G52:H52"/>
    <mergeCell ref="F96:G96"/>
    <mergeCell ref="I85:J85"/>
    <mergeCell ref="I86:J86"/>
    <mergeCell ref="I87:J87"/>
    <mergeCell ref="I90:J90"/>
    <mergeCell ref="I91:J91"/>
    <mergeCell ref="I88:J88"/>
    <mergeCell ref="I89:J89"/>
    <mergeCell ref="J52:K52"/>
    <mergeCell ref="G53:H53"/>
    <mergeCell ref="J53:K53"/>
    <mergeCell ref="G54:H54"/>
    <mergeCell ref="J54:K54"/>
    <mergeCell ref="F95:G95"/>
    <mergeCell ref="D103:L103"/>
    <mergeCell ref="C1:J2"/>
    <mergeCell ref="J35:K35"/>
    <mergeCell ref="H43:K45"/>
    <mergeCell ref="C4:D4"/>
    <mergeCell ref="H4:I4"/>
    <mergeCell ref="J4:K4"/>
    <mergeCell ref="C5:D5"/>
    <mergeCell ref="J5:K5"/>
    <mergeCell ref="B7:L7"/>
    <mergeCell ref="F20:I20"/>
    <mergeCell ref="D34:E34"/>
    <mergeCell ref="F34:I34"/>
    <mergeCell ref="J34:K34"/>
    <mergeCell ref="D37:G37"/>
    <mergeCell ref="D67:E67"/>
    <mergeCell ref="F67:I67"/>
    <mergeCell ref="E70:F70"/>
    <mergeCell ref="B100:C100"/>
    <mergeCell ref="B103:C103"/>
    <mergeCell ref="H72:I72"/>
    <mergeCell ref="H73:I73"/>
    <mergeCell ref="H74:I74"/>
    <mergeCell ref="D80:E80"/>
    <mergeCell ref="F80:I80"/>
    <mergeCell ref="I83:J83"/>
    <mergeCell ref="F97:G97"/>
    <mergeCell ref="G92:H92"/>
    <mergeCell ref="F86:G86"/>
    <mergeCell ref="F87:G87"/>
    <mergeCell ref="F88:G88"/>
  </mergeCells>
  <conditionalFormatting sqref="I52 C57 C76">
    <cfRule type="expression" dxfId="0" priority="1" stopIfTrue="1">
      <formula>ISERROR(C52)</formula>
    </cfRule>
  </conditionalFormatting>
  <dataValidations xWindow="204" yWindow="453" count="45">
    <dataValidation allowBlank="1" showInputMessage="1" showErrorMessage="1" prompt="Enter amount from check or direct deposit and 1099.  Worksheet will provide monthly comparison average. Check the amount used to qualify, then enter the annual income from this source that is not taxed. The worksheet will apply a 25% adjustment and add to" sqref="B83 B92" xr:uid="{97AA2799-CE0D-4BC3-BA8C-F360823CC2C4}"/>
    <dataValidation allowBlank="1" showInputMessage="1" showErrorMessage="1" prompt="Enter income source, YTD, and previous earnings from W-2 or tax return." sqref="B70" xr:uid="{3FA7E916-31E3-4FDD-B695-075DF90E3A09}"/>
    <dataValidation allowBlank="1" showInputMessage="1" showErrorMessage="1" prompt="Enter YTD and previous year's commission. Enter the business expense from previous 2 year's tax returns.  The worksheet will apply an expense calculation based upon previous years expenses for YTD income." sqref="B50" xr:uid="{EB77A006-BCB9-44E0-9B52-609AF4855375}"/>
    <dataValidation allowBlank="1" showInputMessage="1" showErrorMessage="1" prompt="Enter Salary type for borrower, worksheet will calculate monthly income. Enter applicable data. The salary income should be used unless lower Y-T-D or past year income would suggest a more conservative approach.  Choose stable income." sqref="B23" xr:uid="{CE8CA033-0C79-42F5-A346-34284B8F9B97}"/>
    <dataValidation allowBlank="1" showInputMessage="1" showErrorMessage="1" prompt="Enter applicable information in fields.  The worksheet will automatically calculate the lowest income average. However, if a more reasonable approach should be used; utilize the check box next to that approach." sqref="B9" xr:uid="{622AB158-D47E-449F-85D1-098880672DBD}"/>
    <dataValidation allowBlank="1" showInputMessage="1" showErrorMessage="1" prompt="Break out Bonus/Overtime Income from borrowers total income.  Do NOT double count earnings under hourly or salary income sections.  Back out any bonus or overtime earnings from W-2s in those sections and include in bonus/overtime section." sqref="B37" xr:uid="{0E4F858E-8F8E-461B-B79A-8083B246692A}"/>
    <dataValidation allowBlank="1" showErrorMessage="1" prompt="Enter Income as Reflected on 1099" sqref="C95" xr:uid="{8815457A-50F0-4139-880C-C8B6423031CF}"/>
    <dataValidation allowBlank="1" showInputMessage="1" showErrorMessage="1" prompt="selecting this checkbox will use this figure in the calculations" sqref="C15" xr:uid="{DE152010-A37A-44AB-8CFD-1FD18DE6947F}"/>
    <dataValidation allowBlank="1" showInputMessage="1" showErrorMessage="1" prompt="Enter Other Income From W-2" sqref="C73:C74" xr:uid="{1985B2E2-7007-4DFB-A4B0-4A437FFD37F6}"/>
    <dataValidation allowBlank="1" showInputMessage="1" showErrorMessage="1" prompt="Enter the number of months reflected" sqref="G72:G74" xr:uid="{2F95F8DF-5245-45FA-A57A-AAA335DE56C5}"/>
    <dataValidation allowBlank="1" showInputMessage="1" showErrorMessage="1" prompt="Enter Year-to-Date Income Amount" sqref="C72" xr:uid="{FF0714A5-B644-4274-8C27-E32D0814A391}"/>
    <dataValidation allowBlank="1" showInputMessage="1" showErrorMessage="1" prompt="Enter the Number of Months" sqref="G57:G59" xr:uid="{FB680BF8-281E-418E-A124-038941CAA1FA}"/>
    <dataValidation allowBlank="1" showInputMessage="1" showErrorMessage="1" prompt="Enter Prev. year Comm. Less any  Base salary" sqref="C54:C55" xr:uid="{3DF897EB-A57F-4806-9DF2-47DA7E6220A6}"/>
    <dataValidation allowBlank="1" showInputMessage="1" showErrorMessage="1" prompt="Enter the 2106 Expenses (if any)" sqref="I53:I55" xr:uid="{FBF8E8EE-3123-44AE-A6DA-B73410FC76C4}"/>
    <dataValidation allowBlank="1" showInputMessage="1" showErrorMessage="1" prompt="Enter Prev. Year Comm. Less any Base salary" sqref="C53" xr:uid="{EC0F5080-85B3-433E-8C2A-DC4BFC903DD1}"/>
    <dataValidation allowBlank="1" showInputMessage="1" showErrorMessage="1" prompt="Enter source of Other Income_x000a_" sqref="E70:F70 I83 G92" xr:uid="{34AC180D-9A70-4FB3-A777-10B46267D36C}"/>
    <dataValidation allowBlank="1" showInputMessage="1" showErrorMessage="1" prompt="Deduct YTD Commission from Base" sqref="C52" xr:uid="{80EDAD86-8A2F-4173-9BF1-E69E9833CFAF}"/>
    <dataValidation allowBlank="1" showInputMessage="1" showErrorMessage="1" prompt="Enter the Number of Months Reflected" sqref="G41" xr:uid="{FC8098CB-2FB3-4449-94F1-6C240B767F1F}"/>
    <dataValidation allowBlank="1" showInputMessage="1" showErrorMessage="1" prompt="Deduct Bonus/OT from annual Base Salary" sqref="C40:C41" xr:uid="{F71DAF28-0218-44A3-A431-85940137428B}"/>
    <dataValidation allowBlank="1" showInputMessage="1" showErrorMessage="1" prompt="Enter Number of months reflected" sqref="G39:G40" xr:uid="{BDCE7605-70B8-4C1E-B92C-773AD93D8D7D}"/>
    <dataValidation allowBlank="1" showInputMessage="1" showErrorMessage="1" prompt="Deduct YTD Bonus/OT from Base Salary" sqref="C39" xr:uid="{49535FA1-FECD-4F46-BBE6-1F2508CAC3D8}"/>
    <dataValidation allowBlank="1" showInputMessage="1" showErrorMessage="1" prompt="Enter Number of Months reflected by W-2" sqref="G31:G32" xr:uid="{E838781A-BCAC-4EB3-9974-76F840B1865E}"/>
    <dataValidation allowBlank="1" showInputMessage="1" showErrorMessage="1" prompt="Enter W-2 Income" sqref="C31:C32" xr:uid="{E4E11E5A-50D6-4E45-8FA4-6FC78AFA7F97}"/>
    <dataValidation allowBlank="1" showInputMessage="1" showErrorMessage="1" prompt="Enter Number of Months reflected on Pay Stub" sqref="G30" xr:uid="{E9427A51-8444-4609-9356-06C048E947EF}"/>
    <dataValidation allowBlank="1" showInputMessage="1" showErrorMessage="1" prompt="Enter Borrower's Employer" sqref="C5:D5" xr:uid="{03049AB2-AECD-4364-8156-13D127F49A54}"/>
    <dataValidation allowBlank="1" showInputMessage="1" showErrorMessage="1" prompt="Enter Borrower's Name" sqref="C4:D4" xr:uid="{1FD0F6A3-5F91-420E-9FD4-654958CCC30E}"/>
    <dataValidation allowBlank="1" showInputMessage="1" showErrorMessage="1" prompt="Enter Tax Year" sqref="E12:E13 E73:E74" xr:uid="{5BED5250-88A1-454B-8A9E-D1E509406B4E}"/>
    <dataValidation allowBlank="1" showInputMessage="1" showErrorMessage="1" prompt="Enter Year to Date Salary as reflected on Pay Stub" sqref="C30" xr:uid="{E719B9D9-4750-4D8E-BE61-A7B1D40578F6}"/>
    <dataValidation allowBlank="1" showInputMessage="1" showErrorMessage="1" prompt="If Paid Weekly enter Weekly Salary" sqref="C28" xr:uid="{E86A8EB3-7512-4069-A35B-175B01B6AE6E}"/>
    <dataValidation allowBlank="1" showInputMessage="1" showErrorMessage="1" prompt="If paid Bi-Monthly enter Bi-Monthly Salary" sqref="C27" xr:uid="{F4408B54-259F-4DB8-930C-1A9616B72916}"/>
    <dataValidation allowBlank="1" showInputMessage="1" showErrorMessage="1" prompt="If paid Bi-Weekly Enter Bi-Weekly salary" sqref="C26" xr:uid="{C6731512-8B8C-4BE2-BF30-83DB3F05CEE2}"/>
    <dataValidation allowBlank="1" showInputMessage="1" showErrorMessage="1" prompt="If paid monthly enter Monthly Salary" sqref="C25" xr:uid="{FAD340E7-E393-46EC-9AA4-9F14A16ADFB0}"/>
    <dataValidation allowBlank="1" showInputMessage="1" showErrorMessage="1" prompt="Enter Number of months worked for this Tax Year" sqref="G12:G13" xr:uid="{147D9CE4-7A8D-4E50-87A3-65873876BA95}"/>
    <dataValidation allowBlank="1" showInputMessage="1" showErrorMessage="1" prompt="Enter Salary from W-2" sqref="C12:C13" xr:uid="{D519FC5F-E44B-4AFC-9913-E4B1BC7902F5}"/>
    <dataValidation allowBlank="1" showInputMessage="1" showErrorMessage="1" prompt="Enter The Number of Months" sqref="G11" xr:uid="{7BCEB6C7-C9AF-4ACE-B796-241FFF92D23B}"/>
    <dataValidation allowBlank="1" showInputMessage="1" showErrorMessage="1" prompt="Enter Year-to-Date Earnings Reflected on Pay Stub" sqref="C11" xr:uid="{DDE525D9-432F-427D-8388-F893A12DB90A}"/>
    <dataValidation allowBlank="1" showInputMessage="1" showErrorMessage="1" prompt="Enter Number of Hours worked Per week" sqref="G10" xr:uid="{DE412FB8-5C23-48A7-A42F-842A20891FFE}"/>
    <dataValidation allowBlank="1" showInputMessage="1" showErrorMessage="1" prompt="Enter Loan Number" sqref="J4:K4" xr:uid="{5A7FF0A4-A236-45CE-A025-1B898C8A95DA}"/>
    <dataValidation allowBlank="1" showInputMessage="1" showErrorMessage="1" prompt="Enter the Hourly Pay Rate" sqref="C10" xr:uid="{B95DD71A-498D-4E81-B398-1A97B9AE7B1A}"/>
    <dataValidation type="list" allowBlank="1" showInputMessage="1" showErrorMessage="1" sqref="B97 B88" xr:uid="{F97CF81B-5F0F-467B-95D1-6683D044F1E0}">
      <formula1>$O$87:$O$89</formula1>
    </dataValidation>
    <dataValidation allowBlank="1" showInputMessage="1" showErrorMessage="1" prompt="Enter income as reflected on SSA 1099_x000a_" sqref="C85" xr:uid="{88B83960-A81C-44CB-ADF6-9E0813094BE9}"/>
    <dataValidation allowBlank="1" showInputMessage="1" showErrorMessage="1" prompt="Enter Income as Reflected on 1040" sqref="C86" xr:uid="{0ED586B0-6041-40CC-821A-E5915E9FEBDA}"/>
    <dataValidation allowBlank="1" showInputMessage="1" showErrorMessage="1" prompt="Enter Income as Reflected on 1099" sqref="C94" xr:uid="{7F4A9428-2A47-475A-BCAA-EBE0CA3A81F3}"/>
    <dataValidation allowBlank="1" showInputMessage="1" showErrorMessage="1" prompt="Enter income as reflected on 1099_x000a_" sqref="I85:J85" xr:uid="{6A5FE42B-E695-43B3-A34E-3FD4273F0815}"/>
    <dataValidation allowBlank="1" showErrorMessage="1" sqref="I86:J86" xr:uid="{CCFB95B9-511E-4414-B94B-57373250FF34}"/>
  </dataValidations>
  <printOptions horizontalCentered="1"/>
  <pageMargins left="0.25" right="0.25" top="0.25" bottom="0.25" header="0.3" footer="0.3"/>
  <pageSetup scale="54"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locked="0" defaultSize="0" autoFill="0" autoLine="0" autoPict="0">
                <anchor moveWithCells="1">
                  <from>
                    <xdr:col>1</xdr:col>
                    <xdr:colOff>523875</xdr:colOff>
                    <xdr:row>14</xdr:row>
                    <xdr:rowOff>104775</xdr:rowOff>
                  </from>
                  <to>
                    <xdr:col>1</xdr:col>
                    <xdr:colOff>819150</xdr:colOff>
                    <xdr:row>16</xdr:row>
                    <xdr:rowOff>28575</xdr:rowOff>
                  </to>
                </anchor>
              </controlPr>
            </control>
          </mc:Choice>
        </mc:AlternateContent>
        <mc:AlternateContent xmlns:mc="http://schemas.openxmlformats.org/markup-compatibility/2006">
          <mc:Choice Requires="x14">
            <control shapeId="2050" r:id="rId5" name="Check Box 2">
              <controlPr locked="0" defaultSize="0" autoFill="0" autoLine="0" autoPict="0">
                <anchor moveWithCells="1">
                  <from>
                    <xdr:col>1</xdr:col>
                    <xdr:colOff>523875</xdr:colOff>
                    <xdr:row>15</xdr:row>
                    <xdr:rowOff>104775</xdr:rowOff>
                  </from>
                  <to>
                    <xdr:col>1</xdr:col>
                    <xdr:colOff>819150</xdr:colOff>
                    <xdr:row>17</xdr:row>
                    <xdr:rowOff>38100</xdr:rowOff>
                  </to>
                </anchor>
              </controlPr>
            </control>
          </mc:Choice>
        </mc:AlternateContent>
        <mc:AlternateContent xmlns:mc="http://schemas.openxmlformats.org/markup-compatibility/2006">
          <mc:Choice Requires="x14">
            <control shapeId="2051" r:id="rId6" name="Check Box 3">
              <controlPr locked="0" defaultSize="0" autoFill="0" autoLine="0" autoPict="0">
                <anchor moveWithCells="1">
                  <from>
                    <xdr:col>1</xdr:col>
                    <xdr:colOff>523875</xdr:colOff>
                    <xdr:row>16</xdr:row>
                    <xdr:rowOff>114300</xdr:rowOff>
                  </from>
                  <to>
                    <xdr:col>1</xdr:col>
                    <xdr:colOff>819150</xdr:colOff>
                    <xdr:row>18</xdr:row>
                    <xdr:rowOff>57150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1</xdr:col>
                    <xdr:colOff>533400</xdr:colOff>
                    <xdr:row>41</xdr:row>
                    <xdr:rowOff>114300</xdr:rowOff>
                  </from>
                  <to>
                    <xdr:col>1</xdr:col>
                    <xdr:colOff>800100</xdr:colOff>
                    <xdr:row>43</xdr:row>
                    <xdr:rowOff>28575</xdr:rowOff>
                  </to>
                </anchor>
              </controlPr>
            </control>
          </mc:Choice>
        </mc:AlternateContent>
        <mc:AlternateContent xmlns:mc="http://schemas.openxmlformats.org/markup-compatibility/2006">
          <mc:Choice Requires="x14">
            <control shapeId="2053" r:id="rId8" name="Check Box 5">
              <controlPr locked="0" defaultSize="0" autoFill="0" autoLine="0" autoPict="0">
                <anchor moveWithCells="1">
                  <from>
                    <xdr:col>1</xdr:col>
                    <xdr:colOff>533400</xdr:colOff>
                    <xdr:row>42</xdr:row>
                    <xdr:rowOff>123825</xdr:rowOff>
                  </from>
                  <to>
                    <xdr:col>1</xdr:col>
                    <xdr:colOff>790575</xdr:colOff>
                    <xdr:row>44</xdr:row>
                    <xdr:rowOff>28575</xdr:rowOff>
                  </to>
                </anchor>
              </controlPr>
            </control>
          </mc:Choice>
        </mc:AlternateContent>
        <mc:AlternateContent xmlns:mc="http://schemas.openxmlformats.org/markup-compatibility/2006">
          <mc:Choice Requires="x14">
            <control shapeId="2054" r:id="rId9" name="Check Box 6">
              <controlPr locked="0" defaultSize="0" autoFill="0" autoLine="0" autoPict="0">
                <anchor moveWithCells="1">
                  <from>
                    <xdr:col>1</xdr:col>
                    <xdr:colOff>533400</xdr:colOff>
                    <xdr:row>43</xdr:row>
                    <xdr:rowOff>114300</xdr:rowOff>
                  </from>
                  <to>
                    <xdr:col>1</xdr:col>
                    <xdr:colOff>800100</xdr:colOff>
                    <xdr:row>45</xdr:row>
                    <xdr:rowOff>57150</xdr:rowOff>
                  </to>
                </anchor>
              </controlPr>
            </control>
          </mc:Choice>
        </mc:AlternateContent>
        <mc:AlternateContent xmlns:mc="http://schemas.openxmlformats.org/markup-compatibility/2006">
          <mc:Choice Requires="x14">
            <control shapeId="2055" r:id="rId10" name="Check Box 7">
              <controlPr locked="0" defaultSize="0" autoFill="0" autoLine="0" autoPict="0">
                <anchor moveWithCells="1">
                  <from>
                    <xdr:col>1</xdr:col>
                    <xdr:colOff>523875</xdr:colOff>
                    <xdr:row>13</xdr:row>
                    <xdr:rowOff>104775</xdr:rowOff>
                  </from>
                  <to>
                    <xdr:col>1</xdr:col>
                    <xdr:colOff>819150</xdr:colOff>
                    <xdr:row>15</xdr:row>
                    <xdr:rowOff>28575</xdr:rowOff>
                  </to>
                </anchor>
              </controlPr>
            </control>
          </mc:Choice>
        </mc:AlternateContent>
        <mc:AlternateContent xmlns:mc="http://schemas.openxmlformats.org/markup-compatibility/2006">
          <mc:Choice Requires="x14">
            <control shapeId="2056" r:id="rId11" name="Check Box 8">
              <controlPr locked="0" defaultSize="0" autoFill="0" autoLine="0" autoPict="0">
                <anchor moveWithCells="1">
                  <from>
                    <xdr:col>1</xdr:col>
                    <xdr:colOff>552450</xdr:colOff>
                    <xdr:row>59</xdr:row>
                    <xdr:rowOff>133350</xdr:rowOff>
                  </from>
                  <to>
                    <xdr:col>1</xdr:col>
                    <xdr:colOff>781050</xdr:colOff>
                    <xdr:row>61</xdr:row>
                    <xdr:rowOff>38100</xdr:rowOff>
                  </to>
                </anchor>
              </controlPr>
            </control>
          </mc:Choice>
        </mc:AlternateContent>
        <mc:AlternateContent xmlns:mc="http://schemas.openxmlformats.org/markup-compatibility/2006">
          <mc:Choice Requires="x14">
            <control shapeId="2057" r:id="rId12" name="Check Box 9">
              <controlPr locked="0" defaultSize="0" autoFill="0" autoLine="0" autoPict="0">
                <anchor moveWithCells="1">
                  <from>
                    <xdr:col>1</xdr:col>
                    <xdr:colOff>552450</xdr:colOff>
                    <xdr:row>60</xdr:row>
                    <xdr:rowOff>133350</xdr:rowOff>
                  </from>
                  <to>
                    <xdr:col>1</xdr:col>
                    <xdr:colOff>781050</xdr:colOff>
                    <xdr:row>62</xdr:row>
                    <xdr:rowOff>57150</xdr:rowOff>
                  </to>
                </anchor>
              </controlPr>
            </control>
          </mc:Choice>
        </mc:AlternateContent>
        <mc:AlternateContent xmlns:mc="http://schemas.openxmlformats.org/markup-compatibility/2006">
          <mc:Choice Requires="x14">
            <control shapeId="2058" r:id="rId13" name="Check Box 10">
              <controlPr locked="0" defaultSize="0" autoFill="0" autoLine="0" autoPict="0">
                <anchor moveWithCells="1">
                  <from>
                    <xdr:col>1</xdr:col>
                    <xdr:colOff>552450</xdr:colOff>
                    <xdr:row>61</xdr:row>
                    <xdr:rowOff>133350</xdr:rowOff>
                  </from>
                  <to>
                    <xdr:col>1</xdr:col>
                    <xdr:colOff>781050</xdr:colOff>
                    <xdr:row>63</xdr:row>
                    <xdr:rowOff>57150</xdr:rowOff>
                  </to>
                </anchor>
              </controlPr>
            </control>
          </mc:Choice>
        </mc:AlternateContent>
        <mc:AlternateContent xmlns:mc="http://schemas.openxmlformats.org/markup-compatibility/2006">
          <mc:Choice Requires="x14">
            <control shapeId="2059" r:id="rId14" name="Check Box 11">
              <controlPr locked="0" defaultSize="0" autoFill="0" autoLine="0" autoPict="0">
                <anchor moveWithCells="1">
                  <from>
                    <xdr:col>1</xdr:col>
                    <xdr:colOff>514350</xdr:colOff>
                    <xdr:row>74</xdr:row>
                    <xdr:rowOff>104775</xdr:rowOff>
                  </from>
                  <to>
                    <xdr:col>1</xdr:col>
                    <xdr:colOff>819150</xdr:colOff>
                    <xdr:row>76</xdr:row>
                    <xdr:rowOff>38100</xdr:rowOff>
                  </to>
                </anchor>
              </controlPr>
            </control>
          </mc:Choice>
        </mc:AlternateContent>
        <mc:AlternateContent xmlns:mc="http://schemas.openxmlformats.org/markup-compatibility/2006">
          <mc:Choice Requires="x14">
            <control shapeId="2060" r:id="rId15" name="Check Box 12">
              <controlPr locked="0" defaultSize="0" autoFill="0" autoLine="0" autoPict="0">
                <anchor moveWithCells="1">
                  <from>
                    <xdr:col>1</xdr:col>
                    <xdr:colOff>514350</xdr:colOff>
                    <xdr:row>75</xdr:row>
                    <xdr:rowOff>104775</xdr:rowOff>
                  </from>
                  <to>
                    <xdr:col>1</xdr:col>
                    <xdr:colOff>819150</xdr:colOff>
                    <xdr:row>77</xdr:row>
                    <xdr:rowOff>38100</xdr:rowOff>
                  </to>
                </anchor>
              </controlPr>
            </control>
          </mc:Choice>
        </mc:AlternateContent>
        <mc:AlternateContent xmlns:mc="http://schemas.openxmlformats.org/markup-compatibility/2006">
          <mc:Choice Requires="x14">
            <control shapeId="2061" r:id="rId16" name="Check Box 13">
              <controlPr locked="0" defaultSize="0" autoFill="0" autoLine="0" autoPict="0">
                <anchor moveWithCells="1">
                  <from>
                    <xdr:col>1</xdr:col>
                    <xdr:colOff>514350</xdr:colOff>
                    <xdr:row>76</xdr:row>
                    <xdr:rowOff>104775</xdr:rowOff>
                  </from>
                  <to>
                    <xdr:col>1</xdr:col>
                    <xdr:colOff>819150</xdr:colOff>
                    <xdr:row>78</xdr:row>
                    <xdr:rowOff>38100</xdr:rowOff>
                  </to>
                </anchor>
              </controlPr>
            </control>
          </mc:Choice>
        </mc:AlternateContent>
        <mc:AlternateContent xmlns:mc="http://schemas.openxmlformats.org/markup-compatibility/2006">
          <mc:Choice Requires="x14">
            <control shapeId="2062" r:id="rId17" name="Check Box 14">
              <controlPr locked="0" defaultSize="0" autoFill="0" autoLine="0" autoPict="0">
                <anchor moveWithCells="1">
                  <from>
                    <xdr:col>1</xdr:col>
                    <xdr:colOff>542925</xdr:colOff>
                    <xdr:row>23</xdr:row>
                    <xdr:rowOff>104775</xdr:rowOff>
                  </from>
                  <to>
                    <xdr:col>1</xdr:col>
                    <xdr:colOff>790575</xdr:colOff>
                    <xdr:row>25</xdr:row>
                    <xdr:rowOff>28575</xdr:rowOff>
                  </to>
                </anchor>
              </controlPr>
            </control>
          </mc:Choice>
        </mc:AlternateContent>
        <mc:AlternateContent xmlns:mc="http://schemas.openxmlformats.org/markup-compatibility/2006">
          <mc:Choice Requires="x14">
            <control shapeId="2063" r:id="rId18" name="Check Box 15">
              <controlPr locked="0" defaultSize="0" autoFill="0" autoLine="0" autoPict="0">
                <anchor moveWithCells="1">
                  <from>
                    <xdr:col>1</xdr:col>
                    <xdr:colOff>542925</xdr:colOff>
                    <xdr:row>24</xdr:row>
                    <xdr:rowOff>104775</xdr:rowOff>
                  </from>
                  <to>
                    <xdr:col>1</xdr:col>
                    <xdr:colOff>790575</xdr:colOff>
                    <xdr:row>26</xdr:row>
                    <xdr:rowOff>28575</xdr:rowOff>
                  </to>
                </anchor>
              </controlPr>
            </control>
          </mc:Choice>
        </mc:AlternateContent>
        <mc:AlternateContent xmlns:mc="http://schemas.openxmlformats.org/markup-compatibility/2006">
          <mc:Choice Requires="x14">
            <control shapeId="2064" r:id="rId19" name="Check Box 16">
              <controlPr locked="0" defaultSize="0" autoFill="0" autoLine="0" autoPict="0">
                <anchor moveWithCells="1">
                  <from>
                    <xdr:col>1</xdr:col>
                    <xdr:colOff>542925</xdr:colOff>
                    <xdr:row>25</xdr:row>
                    <xdr:rowOff>114300</xdr:rowOff>
                  </from>
                  <to>
                    <xdr:col>1</xdr:col>
                    <xdr:colOff>790575</xdr:colOff>
                    <xdr:row>27</xdr:row>
                    <xdr:rowOff>38100</xdr:rowOff>
                  </to>
                </anchor>
              </controlPr>
            </control>
          </mc:Choice>
        </mc:AlternateContent>
        <mc:AlternateContent xmlns:mc="http://schemas.openxmlformats.org/markup-compatibility/2006">
          <mc:Choice Requires="x14">
            <control shapeId="2065" r:id="rId20" name="Check Box 17">
              <controlPr locked="0" defaultSize="0" autoFill="0" autoLine="0" autoPict="0">
                <anchor moveWithCells="1">
                  <from>
                    <xdr:col>1</xdr:col>
                    <xdr:colOff>542925</xdr:colOff>
                    <xdr:row>26</xdr:row>
                    <xdr:rowOff>133350</xdr:rowOff>
                  </from>
                  <to>
                    <xdr:col>1</xdr:col>
                    <xdr:colOff>790575</xdr:colOff>
                    <xdr:row>28</xdr:row>
                    <xdr:rowOff>57150</xdr:rowOff>
                  </to>
                </anchor>
              </controlPr>
            </control>
          </mc:Choice>
        </mc:AlternateContent>
        <mc:AlternateContent xmlns:mc="http://schemas.openxmlformats.org/markup-compatibility/2006">
          <mc:Choice Requires="x14">
            <control shapeId="2066" r:id="rId21" name="Check Box 18">
              <controlPr locked="0" defaultSize="0" autoFill="0" autoLine="0" autoPict="0">
                <anchor moveWithCells="1">
                  <from>
                    <xdr:col>1</xdr:col>
                    <xdr:colOff>542925</xdr:colOff>
                    <xdr:row>28</xdr:row>
                    <xdr:rowOff>114300</xdr:rowOff>
                  </from>
                  <to>
                    <xdr:col>1</xdr:col>
                    <xdr:colOff>790575</xdr:colOff>
                    <xdr:row>30</xdr:row>
                    <xdr:rowOff>57150</xdr:rowOff>
                  </to>
                </anchor>
              </controlPr>
            </control>
          </mc:Choice>
        </mc:AlternateContent>
        <mc:AlternateContent xmlns:mc="http://schemas.openxmlformats.org/markup-compatibility/2006">
          <mc:Choice Requires="x14">
            <control shapeId="2067" r:id="rId22" name="Check Box 19">
              <controlPr locked="0" defaultSize="0" autoFill="0" autoLine="0" autoPict="0">
                <anchor moveWithCells="1">
                  <from>
                    <xdr:col>1</xdr:col>
                    <xdr:colOff>542925</xdr:colOff>
                    <xdr:row>29</xdr:row>
                    <xdr:rowOff>123825</xdr:rowOff>
                  </from>
                  <to>
                    <xdr:col>1</xdr:col>
                    <xdr:colOff>790575</xdr:colOff>
                    <xdr:row>31</xdr:row>
                    <xdr:rowOff>57150</xdr:rowOff>
                  </to>
                </anchor>
              </controlPr>
            </control>
          </mc:Choice>
        </mc:AlternateContent>
        <mc:AlternateContent xmlns:mc="http://schemas.openxmlformats.org/markup-compatibility/2006">
          <mc:Choice Requires="x14">
            <control shapeId="2068" r:id="rId23" name="Check Box 20">
              <controlPr locked="0" defaultSize="0" autoFill="0" autoLine="0" autoPict="0">
                <anchor moveWithCells="1">
                  <from>
                    <xdr:col>1</xdr:col>
                    <xdr:colOff>542925</xdr:colOff>
                    <xdr:row>30</xdr:row>
                    <xdr:rowOff>133350</xdr:rowOff>
                  </from>
                  <to>
                    <xdr:col>1</xdr:col>
                    <xdr:colOff>790575</xdr:colOff>
                    <xdr:row>32</xdr:row>
                    <xdr:rowOff>57150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a831b724-560d-41bb-a7f0-593f1e1cf2c9" origin="userSelected">
  <element uid="id_classification_nonbusiness" value=""/>
  <element uid="78ca77a2-5b0f-4c8b-9fd2-e0d76e76104a" value=""/>
</sisl>
</file>

<file path=customXml/item2.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hODMxYjcyNC01NjBkLTQxYmItYTdmMC01OTNmMWUxY2YyYzkiIG9yaWdpbj0idXNlclNlbGVjdGVkIj48ZWxlbWVudCB1aWQ9ImlkX2NsYXNzaWZpY2F0aW9uX25vbmJ1c2luZXNzIiB2YWx1ZT0iIiB4bWxucz0iaHR0cDovL3d3dy5ib2xkb25qYW1lcy5jb20vMjAwOC8wMS9zaWUvaW50ZXJuYWwvbGFiZWwiIC8+PGVsZW1lbnQgdWlkPSI3OGNhNzdhMi01YjBmLTRjOGItOWZkMi1lMGQ3NmU3NjEwNGEiIHZhbHVlPSIiIHhtbG5zPSJodHRwOi8vd3d3LmJvbGRvbmphbWVzLmNvbS8yMDA4LzAxL3NpZS9pbnRlcm5hbC9sYWJlbCIgLz48L3Npc2w+PFVzZXJOYW1lPkdFTldPUlRIXDIxNzAxNzMwNDwvVXNlck5hbWU+PERhdGVUaW1lPjEvMjkvMjAyMSAyOjU0OjM2IFBNPC9EYXRlVGltZT48TGFiZWxTdHJpbmc+VU5SRVNUUklDVEVEPC9MYWJlbFN0cmluZz48L2l0ZW0+PC9sYWJlbEhpc3Rvcnk+</Value>
</WrappedLabelHistory>
</file>

<file path=customXml/itemProps1.xml><?xml version="1.0" encoding="utf-8"?>
<ds:datastoreItem xmlns:ds="http://schemas.openxmlformats.org/officeDocument/2006/customXml" ds:itemID="{AAE1DB25-9085-43FD-830E-BD9FD77166C1}">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BB2AC9A-F225-45DE-9F4D-9EA30F65A2D9}">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Income Calculation Worksheet</vt:lpstr>
    </vt:vector>
  </TitlesOfParts>
  <Company>GMAC ResCap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emuscovi</dc:creator>
  <cp:lastModifiedBy>Reva Haskin</cp:lastModifiedBy>
  <cp:lastPrinted>2021-04-20T15:07:04Z</cp:lastPrinted>
  <dcterms:created xsi:type="dcterms:W3CDTF">2010-10-27T15:33:25Z</dcterms:created>
  <dcterms:modified xsi:type="dcterms:W3CDTF">2025-01-14T23:18:40Z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{10ECA0D3-6D7B-42C3-8B9A-9A0374DCDA0E}</vt:lpwstr>
  </property>
  <property fmtid="{D5CDD505-2E9C-101B-9397-08002B2CF9AE}" pid="3" name="docIndexRef">
    <vt:lpwstr>791b3640-7ce7-45e5-930d-d12ac91a269f</vt:lpwstr>
  </property>
  <property fmtid="{D5CDD505-2E9C-101B-9397-08002B2CF9AE}" pid="4" name="bjSaver">
    <vt:lpwstr>IEQ+HSBIK/5Gayh0GZH2fm2VlqBnXTaV</vt:lpwstr>
  </property>
  <property fmtid="{D5CDD505-2E9C-101B-9397-08002B2CF9AE}" pid="5" name="bjDocumentSecurityLabel">
    <vt:lpwstr>UNRESTRICTED</vt:lpwstr>
  </property>
  <property fmtid="{D5CDD505-2E9C-101B-9397-08002B2CF9AE}" pid="6" name="bjClsUserRVM">
    <vt:lpwstr>[]</vt:lpwstr>
  </property>
  <property fmtid="{D5CDD505-2E9C-101B-9397-08002B2CF9AE}" pid="7" name="bjLabelHistoryID">
    <vt:lpwstr>{DBB2AC9A-F225-45DE-9F4D-9EA30F65A2D9}</vt:lpwstr>
  </property>
  <property fmtid="{D5CDD505-2E9C-101B-9397-08002B2CF9AE}" pid="8" name="bjDocumentLabelXML">
    <vt:lpwstr>&lt;?xml version="1.0" encoding="us-ascii"?&gt;&lt;sisl xmlns:xsd="http://www.w3.org/2001/XMLSchema" xmlns:xsi="http://www.w3.org/2001/XMLSchema-instance" sislVersion="0" policy="a831b724-560d-41bb-a7f0-593f1e1cf2c9" origin="userSelected" xmlns="http://www.boldonj</vt:lpwstr>
  </property>
  <property fmtid="{D5CDD505-2E9C-101B-9397-08002B2CF9AE}" pid="9" name="bjDocumentLabelXML-0">
    <vt:lpwstr>ames.com/2008/01/sie/internal/label"&gt;&lt;element uid="id_classification_nonbusiness" value="" /&gt;&lt;element uid="78ca77a2-5b0f-4c8b-9fd2-e0d76e76104a" value="" /&gt;&lt;/sisl&gt;</vt:lpwstr>
  </property>
</Properties>
</file>