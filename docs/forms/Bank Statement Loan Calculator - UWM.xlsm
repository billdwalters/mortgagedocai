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b797dff68539601/Desktop/PCM/Forms/"/>
    </mc:Choice>
  </mc:AlternateContent>
  <xr:revisionPtr revIDLastSave="112" documentId="13_ncr:1_{1E218E5A-A4BA-48A0-B1BD-74A2B1988945}" xr6:coauthVersionLast="47" xr6:coauthVersionMax="47" xr10:uidLastSave="{91E7C951-9394-4415-9D28-F56EA437FC40}"/>
  <bookViews>
    <workbookView xWindow="-28920" yWindow="-120" windowWidth="29040" windowHeight="15720" tabRatio="598" activeTab="1" xr2:uid="{00000000-000D-0000-FFFF-FFFF00000000}"/>
  </bookViews>
  <sheets>
    <sheet name="Personal Assets Analysis &amp; Calc" sheetId="4" r:id="rId1"/>
    <sheet name="Business Asset Analysis" sheetId="2" r:id="rId2"/>
    <sheet name="Business Assets Calculation" sheetId="1" r:id="rId3"/>
    <sheet name="Reserve Calculator" sheetId="6" r:id="rId4"/>
    <sheet name="Subject Property Reserves" sheetId="8" state="hidden" r:id="rId5"/>
    <sheet name="Summary" sheetId="5" r:id="rId6"/>
    <sheet name="Lists" sheetId="7" state="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9" i="6" l="1"/>
  <c r="G16" i="8"/>
  <c r="R34" i="6"/>
  <c r="R33" i="6"/>
  <c r="D33" i="6" s="1"/>
  <c r="R36" i="6"/>
  <c r="R35" i="6"/>
  <c r="D35" i="6" s="1"/>
  <c r="T15" i="6"/>
  <c r="W15" i="6" s="1"/>
  <c r="T35" i="6"/>
  <c r="V26" i="1" l="1"/>
  <c r="W27" i="1" s="1"/>
  <c r="N4" i="1" l="1"/>
  <c r="B15" i="5"/>
  <c r="I20" i="1" l="1"/>
  <c r="M20" i="5" l="1"/>
  <c r="B14" i="4"/>
  <c r="N16" i="1" l="1"/>
  <c r="M18" i="5"/>
  <c r="N18" i="5" s="1"/>
  <c r="N8" i="1" l="1"/>
  <c r="V12" i="1" s="1"/>
  <c r="I8" i="1"/>
  <c r="D8" i="1"/>
  <c r="D34" i="6"/>
  <c r="T12" i="6"/>
  <c r="W9" i="6" s="1"/>
  <c r="J23" i="6" s="1"/>
  <c r="T10" i="6" l="1"/>
  <c r="J8" i="6" s="1"/>
  <c r="Z36" i="6" s="1"/>
  <c r="T27" i="6" s="1"/>
  <c r="T24" i="6"/>
  <c r="Z33" i="6"/>
  <c r="R37" i="6"/>
  <c r="V17" i="1"/>
  <c r="V20" i="1" s="1"/>
  <c r="D36" i="6"/>
  <c r="Y33" i="6" s="1"/>
  <c r="J21" i="6" l="1"/>
  <c r="T32" i="6"/>
  <c r="J18" i="6"/>
  <c r="N12" i="1"/>
  <c r="D5" i="1"/>
  <c r="I5" i="1"/>
  <c r="B11" i="5" l="1"/>
  <c r="J10" i="6"/>
  <c r="J12" i="6" s="1"/>
  <c r="N14" i="4"/>
  <c r="N50" i="4"/>
  <c r="L50" i="4"/>
  <c r="I50" i="4"/>
  <c r="G50" i="4"/>
  <c r="E50" i="4"/>
  <c r="B50" i="4"/>
  <c r="N39" i="4"/>
  <c r="L39" i="4"/>
  <c r="I39" i="4"/>
  <c r="G39" i="4"/>
  <c r="E39" i="4"/>
  <c r="B39" i="4"/>
  <c r="N53" i="2"/>
  <c r="L53" i="2"/>
  <c r="I53" i="2"/>
  <c r="G53" i="2"/>
  <c r="E53" i="2"/>
  <c r="B53" i="2"/>
  <c r="N42" i="2"/>
  <c r="L42" i="2"/>
  <c r="I42" i="2"/>
  <c r="G42" i="2"/>
  <c r="E42" i="2"/>
  <c r="B42" i="2"/>
  <c r="J15" i="6" l="1"/>
  <c r="B13" i="5"/>
  <c r="Q10" i="4"/>
  <c r="Q10" i="2"/>
  <c r="N25" i="4" l="1"/>
  <c r="L25" i="4"/>
  <c r="I25" i="4"/>
  <c r="G25" i="4"/>
  <c r="E25" i="4"/>
  <c r="B25" i="4"/>
  <c r="L14" i="4"/>
  <c r="I14" i="4"/>
  <c r="G14" i="4"/>
  <c r="E14" i="4"/>
  <c r="N25" i="2"/>
  <c r="L25" i="2"/>
  <c r="I25" i="2"/>
  <c r="G25" i="2"/>
  <c r="E25" i="2"/>
  <c r="B25" i="2"/>
  <c r="N14" i="2"/>
  <c r="L14" i="2"/>
  <c r="I14" i="2"/>
  <c r="G14" i="2"/>
  <c r="E14" i="2"/>
  <c r="B14" i="2"/>
  <c r="Q8" i="2" l="1"/>
  <c r="H57" i="2" s="1"/>
  <c r="Q7" i="4"/>
  <c r="H55" i="4" s="1"/>
  <c r="H57" i="4" s="1"/>
  <c r="K13" i="5" l="1"/>
  <c r="I4" i="1"/>
  <c r="D4" i="1"/>
  <c r="D12" i="1" s="1"/>
  <c r="D20" i="1" s="1"/>
  <c r="I12" i="1" l="1"/>
  <c r="Y20" i="1" s="1"/>
  <c r="N20" i="1" s="1"/>
  <c r="Z26" i="1"/>
  <c r="K9" i="5"/>
  <c r="V23" i="1" l="1"/>
  <c r="K11" i="5"/>
  <c r="X27" i="1"/>
  <c r="B17" i="5"/>
  <c r="K7" i="5"/>
  <c r="M9" i="5" l="1"/>
  <c r="K18" i="5" s="1"/>
  <c r="N23" i="1"/>
  <c r="B5" i="5" l="1"/>
  <c r="M14" i="5"/>
  <c r="B7" i="5" s="1"/>
  <c r="O18" i="5"/>
  <c r="B9" i="5" s="1"/>
</calcChain>
</file>

<file path=xl/sharedStrings.xml><?xml version="1.0" encoding="utf-8"?>
<sst xmlns="http://schemas.openxmlformats.org/spreadsheetml/2006/main" count="595" uniqueCount="143">
  <si>
    <t xml:space="preserve">Monthly Income </t>
  </si>
  <si>
    <t xml:space="preserve">Qualifying Income </t>
  </si>
  <si>
    <t>Percent Owner</t>
  </si>
  <si>
    <t>Expense Ratio (CPA)</t>
  </si>
  <si>
    <t>Expense Ratio (Default)</t>
  </si>
  <si>
    <t>Expense Ratio (P&amp;L)</t>
  </si>
  <si>
    <t>Total Revenue (P&amp;L)</t>
  </si>
  <si>
    <t>Total Expenses (P&amp;L)</t>
  </si>
  <si>
    <t>Net Income</t>
  </si>
  <si>
    <t>Statement 1:</t>
  </si>
  <si>
    <t>Statement 2:</t>
  </si>
  <si>
    <t>Statement 3:</t>
  </si>
  <si>
    <t>Start Date:</t>
  </si>
  <si>
    <t>End Date:</t>
  </si>
  <si>
    <t>Total Monthly Deposits:</t>
  </si>
  <si>
    <t>Unallowable deposits (-)</t>
  </si>
  <si>
    <t>Net Deposits:</t>
  </si>
  <si>
    <t>Statement 4:</t>
  </si>
  <si>
    <t>Statement 5:</t>
  </si>
  <si>
    <t>Statement 6:</t>
  </si>
  <si>
    <t>Net Revenue:</t>
  </si>
  <si>
    <t>Statement 7:</t>
  </si>
  <si>
    <t>Statement 8:</t>
  </si>
  <si>
    <t>Statement 9:</t>
  </si>
  <si>
    <t>Statement 10:</t>
  </si>
  <si>
    <t>Statement 11:</t>
  </si>
  <si>
    <t>Statement 12:</t>
  </si>
  <si>
    <t xml:space="preserve">Name of business: </t>
  </si>
  <si>
    <t xml:space="preserve">Percent owned: </t>
  </si>
  <si>
    <t xml:space="preserve">Bank Statement Loan Personal Asset Analysis 
</t>
  </si>
  <si>
    <t xml:space="preserve">Bank Statement Loan Business Asset Analysis </t>
  </si>
  <si>
    <t>Number of month review:</t>
  </si>
  <si>
    <t>24 Month</t>
  </si>
  <si>
    <t>12 Month</t>
  </si>
  <si>
    <t xml:space="preserve">Select One: </t>
  </si>
  <si>
    <t xml:space="preserve">Year 2 </t>
  </si>
  <si>
    <t>Year one total</t>
  </si>
  <si>
    <t>Year two total</t>
  </si>
  <si>
    <t>1 year total revenue</t>
  </si>
  <si>
    <t xml:space="preserve">2 year total revenue </t>
  </si>
  <si>
    <t xml:space="preserve">Qualifying Income: </t>
  </si>
  <si>
    <t xml:space="preserve">Required Reserves: </t>
  </si>
  <si>
    <t xml:space="preserve">Loan Amount: </t>
  </si>
  <si>
    <t xml:space="preserve">Notes: </t>
  </si>
  <si>
    <t>Number of REO's</t>
  </si>
  <si>
    <t xml:space="preserve">REO Address: </t>
  </si>
  <si>
    <t xml:space="preserve">Subject Property PITI(a): </t>
  </si>
  <si>
    <t xml:space="preserve">REO Properties: </t>
  </si>
  <si>
    <t xml:space="preserve">Total Reserves required: </t>
  </si>
  <si>
    <t xml:space="preserve">Are Provided assets enough to cover reserves? </t>
  </si>
  <si>
    <t>Account #1 (Select one)</t>
  </si>
  <si>
    <t>Stocks, Bonds &amp; Mutual Funds</t>
  </si>
  <si>
    <t>Retirement accounts (401k, TSP, etc)</t>
  </si>
  <si>
    <t>Account #2 (Select one)</t>
  </si>
  <si>
    <t>Account #3 (Select one)</t>
  </si>
  <si>
    <t>Account #4 (Select one)</t>
  </si>
  <si>
    <t xml:space="preserve">Non-Liquid Assets: </t>
  </si>
  <si>
    <t xml:space="preserve">PITI(a): </t>
  </si>
  <si>
    <t xml:space="preserve">Insert vested balance below: </t>
  </si>
  <si>
    <t xml:space="preserve">Balance that can be used for reserves: </t>
  </si>
  <si>
    <t xml:space="preserve">Haircut calcs below: </t>
  </si>
  <si>
    <t xml:space="preserve">Only 50% of required reserves can come from non-liquid </t>
  </si>
  <si>
    <t xml:space="preserve">Insert amounts below: </t>
  </si>
  <si>
    <t xml:space="preserve">Liquid Assets: </t>
  </si>
  <si>
    <t xml:space="preserve">Total Liquid Assets using for Funds to close: </t>
  </si>
  <si>
    <t xml:space="preserve">Cash to close amount in EDGE: </t>
  </si>
  <si>
    <t xml:space="preserve">Remaining liquid assets available: </t>
  </si>
  <si>
    <t xml:space="preserve">Amount of non-liquid that can be used for reserves: </t>
  </si>
  <si>
    <t xml:space="preserve">Total assets available to be used for reserves: </t>
  </si>
  <si>
    <t xml:space="preserve">Reserve Calculator </t>
  </si>
  <si>
    <t>Income calcs</t>
  </si>
  <si>
    <t xml:space="preserve">Biz option 1 </t>
  </si>
  <si>
    <t xml:space="preserve">Biz option 2 </t>
  </si>
  <si>
    <t xml:space="preserve">Biz option 3 </t>
  </si>
  <si>
    <t xml:space="preserve">Personal </t>
  </si>
  <si>
    <t>Enter % here</t>
  </si>
  <si>
    <t xml:space="preserve">Net income from P&amp;L </t>
  </si>
  <si>
    <t>Monthly Income from P&amp;L</t>
  </si>
  <si>
    <t xml:space="preserve">Statement income times the P&amp;L expense ratio </t>
  </si>
  <si>
    <t xml:space="preserve">qualifying income </t>
  </si>
  <si>
    <t xml:space="preserve">Bank Statement Loan Summary </t>
  </si>
  <si>
    <t xml:space="preserve">5% of loan amount </t>
  </si>
  <si>
    <t xml:space="preserve">50% of income </t>
  </si>
  <si>
    <t>Loan amount biz</t>
  </si>
  <si>
    <t>loan amount personal</t>
  </si>
  <si>
    <t xml:space="preserve">Assets available for  Reserves: </t>
  </si>
  <si>
    <t>Addback 1 (select one)</t>
  </si>
  <si>
    <t xml:space="preserve">Depreciation </t>
  </si>
  <si>
    <t xml:space="preserve">Depletion </t>
  </si>
  <si>
    <t xml:space="preserve">Buisness use of home </t>
  </si>
  <si>
    <t>Amortization</t>
  </si>
  <si>
    <t>Verified income to borrower</t>
  </si>
  <si>
    <t>Addback 2 (select one)</t>
  </si>
  <si>
    <t>Addback 3 (select one)</t>
  </si>
  <si>
    <t xml:space="preserve">addbacks totals </t>
  </si>
  <si>
    <t xml:space="preserve">Total income from P&amp;L w/addbacks </t>
  </si>
  <si>
    <t xml:space="preserve">Income from Statements </t>
  </si>
  <si>
    <t>Enter Expenses</t>
  </si>
  <si>
    <t>Enter Revenue</t>
  </si>
  <si>
    <t xml:space="preserve">Total Non-Liquid that can be used for Reserves: </t>
  </si>
  <si>
    <t xml:space="preserve">Total Non-Liquid that can be used for reserves: </t>
  </si>
  <si>
    <t xml:space="preserve">Large deposit Threshold for income review: </t>
  </si>
  <si>
    <t xml:space="preserve">Large Deposit Threshold for funds to close: </t>
  </si>
  <si>
    <t xml:space="preserve">Income from P&amp;L must be within 10% of gross deposits </t>
  </si>
  <si>
    <t xml:space="preserve">Net deposits </t>
  </si>
  <si>
    <t xml:space="preserve">Compare </t>
  </si>
  <si>
    <t xml:space="preserve">Is is within 10%? </t>
  </si>
  <si>
    <t xml:space="preserve">Pass the 10% test? </t>
  </si>
  <si>
    <t>Verified Assets</t>
  </si>
  <si>
    <t>Large deposit threshold for FTC. Lesser of 5% loan amount andmonthly income.</t>
  </si>
  <si>
    <t>Total % difference for P&amp;L calculation</t>
  </si>
  <si>
    <t xml:space="preserve">Total PITI(a) for REOs: </t>
  </si>
  <si>
    <t xml:space="preserve">Updated guidance 3/24/22 all REOs just need 2 months </t>
  </si>
  <si>
    <t xml:space="preserve">Old guidance - Pre 3/24/22. Reserves calculation for REOs: </t>
  </si>
  <si>
    <t xml:space="preserve">Retirement age: </t>
  </si>
  <si>
    <t>How much of the assets are Stocks</t>
  </si>
  <si>
    <t xml:space="preserve">How much are retirement </t>
  </si>
  <si>
    <t>How much retirement can be used</t>
  </si>
  <si>
    <t xml:space="preserve">2 months per REO </t>
  </si>
  <si>
    <t>LLPA Subject Property Reserves</t>
  </si>
  <si>
    <t>Subject Property PITI(a):</t>
  </si>
  <si>
    <t>Required Months of Reserves:</t>
  </si>
  <si>
    <t>Total Required Subject Reserves:</t>
  </si>
  <si>
    <t>Utilize the above figure to verify the required reserves based on broker entry in EDGE</t>
  </si>
  <si>
    <t xml:space="preserve">Number of reserves from broker: </t>
  </si>
  <si>
    <t>Resreves for subject will be based on broker submission. Created new line to enter # of months</t>
  </si>
  <si>
    <t>Is the subject property a primary?:</t>
  </si>
  <si>
    <t>Primary or Not</t>
  </si>
  <si>
    <t>Yes</t>
  </si>
  <si>
    <t>No</t>
  </si>
  <si>
    <t xml:space="preserve">Loan Amount </t>
  </si>
  <si>
    <t>Select One:</t>
  </si>
  <si>
    <t>Number of Months required for Subj Property only:</t>
  </si>
  <si>
    <t xml:space="preserve">Total Reserves for subj: </t>
  </si>
  <si>
    <t xml:space="preserve">Number of Months of reserves </t>
  </si>
  <si>
    <t>REO Reserves:</t>
  </si>
  <si>
    <t>Subject Property Reserves:</t>
  </si>
  <si>
    <t>New 4/2023 -&gt;</t>
  </si>
  <si>
    <t xml:space="preserve">IDK why I wrote it all out again? </t>
  </si>
  <si>
    <t xml:space="preserve">if subject is primary and they are bringing in 12 mos of reserves </t>
  </si>
  <si>
    <t xml:space="preserve">1527 Devils Gulch Rd </t>
  </si>
  <si>
    <t>Darrell Patrick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</si>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</sst>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25">
    <font>
      <sz val="11"/>
      <color theme="1"/>
      <name val="Calibri"/>
      <family val="2"/>
      <scheme val="minor"/>
    </font>
    <font>
      <sz val="11"/>
      <color theme="1"/>
      <name val="Futura LT Pro Book"/>
      <family val="2"/>
    </font>
    <font>
      <b/>
      <sz val="11"/>
      <color theme="0"/>
      <name val="Futura LT Pro Book"/>
      <family val="2"/>
    </font>
    <font>
      <b/>
      <sz val="11"/>
      <color theme="1"/>
      <name val="Futura LT Pro Book"/>
      <family val="2"/>
    </font>
    <font>
      <sz val="11"/>
      <color rgb="FF000000"/>
      <name val="Calibri"/>
      <family val="2"/>
    </font>
    <font>
      <sz val="22"/>
      <color theme="1"/>
      <name val="Futura LT Pro Medium"/>
      <family val="2"/>
    </font>
    <font>
      <sz val="18"/>
      <color theme="1"/>
      <name val="Futura LT Pro Medium"/>
      <family val="2"/>
    </font>
    <font>
      <sz val="11"/>
      <color theme="1"/>
      <name val="Futura LT Pro Medium"/>
      <family val="2"/>
    </font>
    <font>
      <sz val="11"/>
      <color theme="0"/>
      <name val="Futura LT Pro Medium"/>
      <family val="2"/>
    </font>
    <font>
      <sz val="24"/>
      <color theme="1"/>
      <name val="Futura LT Pro Medium"/>
      <family val="2"/>
    </font>
    <font>
      <sz val="20"/>
      <color theme="0"/>
      <name val="Futura LT Pro Medium"/>
      <family val="2"/>
    </font>
    <font>
      <b/>
      <sz val="14"/>
      <color theme="1"/>
      <name val="Futura LT Pro Medium"/>
      <family val="2"/>
    </font>
    <font>
      <sz val="14"/>
      <color theme="1"/>
      <name val="Futura LT Pro Medium"/>
      <family val="2"/>
    </font>
    <font>
      <b/>
      <u/>
      <sz val="12"/>
      <color theme="1"/>
      <name val="Futura LT Pro Medium"/>
      <family val="2"/>
    </font>
    <font>
      <sz val="9"/>
      <color theme="1"/>
      <name val="Futura LT Pro Medium"/>
      <family val="2"/>
    </font>
    <font>
      <b/>
      <sz val="11"/>
      <color theme="1"/>
      <name val="Futura LT Pro Medium"/>
      <family val="2"/>
    </font>
    <font>
      <b/>
      <sz val="11"/>
      <color theme="0"/>
      <name val="Futura LT Pro Medium"/>
      <family val="2"/>
    </font>
    <font>
      <sz val="20"/>
      <color theme="1"/>
      <name val="Futura LT Pro Medium"/>
      <family val="2"/>
    </font>
    <font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sz val="11"/>
      <color rgb="FF00A39D"/>
      <name val="Calibri"/>
      <family val="2"/>
      <scheme val="minor"/>
    </font>
    <font>
      <sz val="22"/>
      <color theme="1"/>
      <name val="Futura LT Pro Book"/>
      <family val="2"/>
    </font>
    <font>
      <sz val="20"/>
      <color theme="1"/>
      <name val="Futura LT Pro Book"/>
      <family val="2"/>
    </font>
    <font>
      <i/>
      <sz val="11"/>
      <color theme="1"/>
      <name val="Futura LT Pro Book"/>
      <family val="2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1CE57"/>
        <bgColor indexed="64"/>
      </patternFill>
    </fill>
    <fill>
      <patternFill patternType="solid">
        <fgColor rgb="FFF68A33"/>
        <bgColor indexed="64"/>
      </patternFill>
    </fill>
    <fill>
      <patternFill patternType="solid">
        <fgColor rgb="FF005F9E"/>
        <bgColor indexed="64"/>
      </patternFill>
    </fill>
    <fill>
      <patternFill patternType="solid">
        <fgColor rgb="FFE5E6E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A39D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65"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2" fillId="6" borderId="0" xfId="0" applyFont="1" applyFill="1" applyAlignment="1">
      <alignment vertical="center"/>
    </xf>
    <xf numFmtId="165" fontId="3" fillId="6" borderId="0" xfId="0" applyNumberFormat="1" applyFont="1" applyFill="1" applyAlignment="1">
      <alignment vertical="center"/>
    </xf>
    <xf numFmtId="165" fontId="0" fillId="0" borderId="0" xfId="0" applyNumberFormat="1"/>
    <xf numFmtId="0" fontId="7" fillId="5" borderId="1" xfId="0" applyFont="1" applyFill="1" applyBorder="1" applyAlignment="1">
      <alignment horizontal="left" vertic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5" borderId="1" xfId="0" applyFont="1" applyFill="1" applyBorder="1"/>
    <xf numFmtId="165" fontId="8" fillId="4" borderId="1" xfId="0" applyNumberFormat="1" applyFont="1" applyFill="1" applyBorder="1" applyAlignment="1">
      <alignment horizontal="left" vertical="center"/>
    </xf>
    <xf numFmtId="0" fontId="9" fillId="0" borderId="0" xfId="0" applyFont="1"/>
    <xf numFmtId="164" fontId="0" fillId="0" borderId="0" xfId="0" applyNumberFormat="1"/>
    <xf numFmtId="165" fontId="7" fillId="3" borderId="1" xfId="0" applyNumberFormat="1" applyFont="1" applyFill="1" applyBorder="1"/>
    <xf numFmtId="165" fontId="8" fillId="3" borderId="1" xfId="0" applyNumberFormat="1" applyFont="1" applyFill="1" applyBorder="1"/>
    <xf numFmtId="0" fontId="11" fillId="0" borderId="1" xfId="0" applyFont="1" applyBorder="1"/>
    <xf numFmtId="0" fontId="11" fillId="0" borderId="0" xfId="0" applyFont="1"/>
    <xf numFmtId="0" fontId="11" fillId="0" borderId="0" xfId="0" applyFont="1" applyAlignment="1">
      <alignment horizontal="left"/>
    </xf>
    <xf numFmtId="0" fontId="11" fillId="0" borderId="13" xfId="0" applyFont="1" applyBorder="1"/>
    <xf numFmtId="0" fontId="7" fillId="0" borderId="16" xfId="0" applyFont="1" applyBorder="1"/>
    <xf numFmtId="0" fontId="7" fillId="0" borderId="1" xfId="0" applyFont="1" applyBorder="1" applyAlignment="1">
      <alignment horizontal="right"/>
    </xf>
    <xf numFmtId="14" fontId="7" fillId="2" borderId="1" xfId="0" applyNumberFormat="1" applyFont="1" applyFill="1" applyBorder="1" applyProtection="1">
      <protection locked="0"/>
    </xf>
    <xf numFmtId="165" fontId="7" fillId="2" borderId="1" xfId="0" applyNumberFormat="1" applyFont="1" applyFill="1" applyBorder="1" applyProtection="1">
      <protection locked="0"/>
    </xf>
    <xf numFmtId="0" fontId="14" fillId="0" borderId="1" xfId="0" applyFont="1" applyBorder="1" applyAlignment="1">
      <alignment horizontal="right"/>
    </xf>
    <xf numFmtId="0" fontId="15" fillId="3" borderId="1" xfId="0" applyFont="1" applyFill="1" applyBorder="1" applyAlignment="1">
      <alignment horizontal="right"/>
    </xf>
    <xf numFmtId="0" fontId="16" fillId="6" borderId="0" xfId="0" applyFont="1" applyFill="1" applyAlignment="1">
      <alignment vertical="center"/>
    </xf>
    <xf numFmtId="165" fontId="15" fillId="6" borderId="0" xfId="0" applyNumberFormat="1" applyFont="1" applyFill="1" applyAlignment="1">
      <alignment vertical="center"/>
    </xf>
    <xf numFmtId="165" fontId="7" fillId="0" borderId="0" xfId="0" applyNumberFormat="1" applyFont="1" applyAlignment="1">
      <alignment horizontal="center"/>
    </xf>
    <xf numFmtId="165" fontId="7" fillId="2" borderId="13" xfId="0" applyNumberFormat="1" applyFont="1" applyFill="1" applyBorder="1" applyProtection="1">
      <protection locked="0"/>
    </xf>
    <xf numFmtId="0" fontId="7" fillId="0" borderId="4" xfId="0" applyFont="1" applyBorder="1"/>
    <xf numFmtId="0" fontId="7" fillId="0" borderId="11" xfId="0" applyFont="1" applyBorder="1"/>
    <xf numFmtId="0" fontId="7" fillId="0" borderId="5" xfId="0" applyFont="1" applyBorder="1"/>
    <xf numFmtId="164" fontId="7" fillId="3" borderId="1" xfId="0" applyNumberFormat="1" applyFont="1" applyFill="1" applyBorder="1" applyAlignment="1">
      <alignment horizontal="center" vertical="center"/>
    </xf>
    <xf numFmtId="0" fontId="7" fillId="0" borderId="2" xfId="0" applyFont="1" applyBorder="1"/>
    <xf numFmtId="164" fontId="7" fillId="2" borderId="1" xfId="0" applyNumberFormat="1" applyFont="1" applyFill="1" applyBorder="1" applyAlignment="1" applyProtection="1">
      <alignment horizontal="center" vertical="center"/>
      <protection locked="0"/>
    </xf>
    <xf numFmtId="0" fontId="7" fillId="0" borderId="7" xfId="0" applyFont="1" applyBorder="1"/>
    <xf numFmtId="0" fontId="7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0" fontId="7" fillId="3" borderId="1" xfId="0" applyNumberFormat="1" applyFont="1" applyFill="1" applyBorder="1" applyAlignment="1">
      <alignment horizontal="center" vertical="center"/>
    </xf>
    <xf numFmtId="9" fontId="7" fillId="0" borderId="0" xfId="0" applyNumberFormat="1" applyFont="1"/>
    <xf numFmtId="165" fontId="7" fillId="3" borderId="1" xfId="0" applyNumberFormat="1" applyFont="1" applyFill="1" applyBorder="1" applyAlignment="1">
      <alignment horizontal="center" vertical="center"/>
    </xf>
    <xf numFmtId="165" fontId="7" fillId="3" borderId="1" xfId="0" applyNumberFormat="1" applyFont="1" applyFill="1" applyBorder="1" applyAlignment="1">
      <alignment horizontal="center"/>
    </xf>
    <xf numFmtId="9" fontId="7" fillId="3" borderId="1" xfId="0" applyNumberFormat="1" applyFont="1" applyFill="1" applyBorder="1" applyAlignment="1">
      <alignment horizontal="center" vertical="center"/>
    </xf>
    <xf numFmtId="10" fontId="7" fillId="2" borderId="1" xfId="0" applyNumberFormat="1" applyFont="1" applyFill="1" applyBorder="1" applyAlignment="1" applyProtection="1">
      <alignment horizontal="center" vertical="center"/>
      <protection locked="0"/>
    </xf>
    <xf numFmtId="165" fontId="16" fillId="4" borderId="1" xfId="0" applyNumberFormat="1" applyFont="1" applyFill="1" applyBorder="1" applyAlignment="1">
      <alignment horizontal="center" vertical="center"/>
    </xf>
    <xf numFmtId="0" fontId="7" fillId="0" borderId="9" xfId="0" applyFont="1" applyBorder="1"/>
    <xf numFmtId="0" fontId="7" fillId="0" borderId="12" xfId="0" applyFont="1" applyBorder="1"/>
    <xf numFmtId="0" fontId="7" fillId="0" borderId="10" xfId="0" applyFont="1" applyBorder="1"/>
    <xf numFmtId="14" fontId="7" fillId="2" borderId="13" xfId="0" applyNumberFormat="1" applyFont="1" applyFill="1" applyBorder="1" applyProtection="1">
      <protection locked="0"/>
    </xf>
    <xf numFmtId="14" fontId="7" fillId="2" borderId="14" xfId="0" applyNumberFormat="1" applyFont="1" applyFill="1" applyBorder="1" applyProtection="1">
      <protection locked="0"/>
    </xf>
    <xf numFmtId="165" fontId="7" fillId="2" borderId="14" xfId="0" applyNumberFormat="1" applyFont="1" applyFill="1" applyBorder="1" applyProtection="1">
      <protection locked="0"/>
    </xf>
    <xf numFmtId="0" fontId="10" fillId="4" borderId="0" xfId="0" applyFont="1" applyFill="1"/>
    <xf numFmtId="0" fontId="0" fillId="6" borderId="0" xfId="0" applyFill="1"/>
    <xf numFmtId="0" fontId="7" fillId="6" borderId="0" xfId="0" applyFont="1" applyFill="1"/>
    <xf numFmtId="0" fontId="7" fillId="7" borderId="1" xfId="0" applyFont="1" applyFill="1" applyBorder="1" applyProtection="1">
      <protection locked="0"/>
    </xf>
    <xf numFmtId="10" fontId="0" fillId="0" borderId="0" xfId="0" applyNumberFormat="1"/>
    <xf numFmtId="0" fontId="8" fillId="6" borderId="0" xfId="0" applyFont="1" applyFill="1"/>
    <xf numFmtId="10" fontId="8" fillId="6" borderId="0" xfId="0" applyNumberFormat="1" applyFont="1" applyFill="1"/>
    <xf numFmtId="0" fontId="18" fillId="0" borderId="0" xfId="0" applyFont="1"/>
    <xf numFmtId="0" fontId="20" fillId="0" borderId="0" xfId="0" applyFont="1"/>
    <xf numFmtId="0" fontId="0" fillId="0" borderId="0" xfId="0" applyProtection="1">
      <protection locked="0"/>
    </xf>
    <xf numFmtId="4" fontId="7" fillId="2" borderId="1" xfId="0" applyNumberFormat="1" applyFont="1" applyFill="1" applyBorder="1" applyProtection="1">
      <protection locked="0"/>
    </xf>
    <xf numFmtId="0" fontId="21" fillId="6" borderId="0" xfId="0" applyFont="1" applyFill="1" applyAlignment="1">
      <alignment vertical="center"/>
    </xf>
    <xf numFmtId="0" fontId="1" fillId="6" borderId="0" xfId="0" applyFont="1" applyFill="1"/>
    <xf numFmtId="0" fontId="7" fillId="5" borderId="1" xfId="0" applyFont="1" applyFill="1" applyBorder="1" applyAlignment="1">
      <alignment horizontal="center" vertical="center"/>
    </xf>
    <xf numFmtId="3" fontId="7" fillId="2" borderId="1" xfId="0" applyNumberFormat="1" applyFont="1" applyFill="1" applyBorder="1" applyAlignment="1" applyProtection="1">
      <alignment horizontal="center" vertical="center"/>
      <protection locked="0"/>
    </xf>
    <xf numFmtId="0" fontId="7" fillId="2" borderId="1" xfId="0" applyFont="1" applyFill="1" applyBorder="1" applyAlignment="1" applyProtection="1">
      <alignment horizontal="center" vertical="center"/>
      <protection locked="0"/>
    </xf>
    <xf numFmtId="165" fontId="7" fillId="2" borderId="1" xfId="0" applyNumberFormat="1" applyFont="1" applyFill="1" applyBorder="1" applyAlignment="1" applyProtection="1">
      <alignment horizontal="center" vertical="center"/>
      <protection locked="0"/>
    </xf>
    <xf numFmtId="165" fontId="8" fillId="2" borderId="1" xfId="0" applyNumberFormat="1" applyFont="1" applyFill="1" applyBorder="1" applyAlignment="1" applyProtection="1">
      <alignment horizontal="center" vertical="center"/>
      <protection locked="0"/>
    </xf>
    <xf numFmtId="0" fontId="9" fillId="6" borderId="0" xfId="0" applyFont="1" applyFill="1" applyAlignment="1">
      <alignment horizontal="center" vertical="center"/>
    </xf>
    <xf numFmtId="0" fontId="9" fillId="6" borderId="2" xfId="0" applyFont="1" applyFill="1" applyBorder="1" applyAlignment="1">
      <alignment vertical="center"/>
    </xf>
    <xf numFmtId="0" fontId="9" fillId="6" borderId="0" xfId="0" applyFont="1" applyFill="1" applyAlignment="1">
      <alignment vertical="center"/>
    </xf>
    <xf numFmtId="0" fontId="7" fillId="5" borderId="1" xfId="0" applyFont="1" applyFill="1" applyBorder="1" applyAlignment="1">
      <alignment vertical="center"/>
    </xf>
    <xf numFmtId="0" fontId="8" fillId="2" borderId="1" xfId="0" applyFont="1" applyFill="1" applyBorder="1" applyAlignment="1" applyProtection="1">
      <alignment vertical="center"/>
      <protection locked="0"/>
    </xf>
    <xf numFmtId="0" fontId="7" fillId="6" borderId="20" xfId="0" applyFont="1" applyFill="1" applyBorder="1" applyAlignment="1">
      <alignment vertical="center"/>
    </xf>
    <xf numFmtId="165" fontId="8" fillId="4" borderId="24" xfId="0" applyNumberFormat="1" applyFont="1" applyFill="1" applyBorder="1" applyAlignment="1">
      <alignment horizontal="left" vertical="center"/>
    </xf>
    <xf numFmtId="0" fontId="8" fillId="6" borderId="0" xfId="0" applyFont="1" applyFill="1" applyAlignment="1">
      <alignment vertical="center"/>
    </xf>
    <xf numFmtId="3" fontId="8" fillId="4" borderId="1" xfId="0" applyNumberFormat="1" applyFont="1" applyFill="1" applyBorder="1" applyAlignment="1">
      <alignment horizontal="left" vertical="center"/>
    </xf>
    <xf numFmtId="0" fontId="7" fillId="0" borderId="0" xfId="0" applyFont="1" applyAlignment="1">
      <alignment vertical="center"/>
    </xf>
    <xf numFmtId="165" fontId="8" fillId="2" borderId="1" xfId="0" applyNumberFormat="1" applyFont="1" applyFill="1" applyBorder="1" applyAlignment="1" applyProtection="1">
      <alignment vertical="center"/>
      <protection locked="0"/>
    </xf>
    <xf numFmtId="165" fontId="8" fillId="4" borderId="1" xfId="0" applyNumberFormat="1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7" fillId="5" borderId="14" xfId="0" applyFont="1" applyFill="1" applyBorder="1" applyAlignment="1">
      <alignment horizontal="left" vertical="center"/>
    </xf>
    <xf numFmtId="165" fontId="8" fillId="4" borderId="14" xfId="0" applyNumberFormat="1" applyFont="1" applyFill="1" applyBorder="1" applyAlignment="1">
      <alignment horizontal="left" vertical="center"/>
    </xf>
    <xf numFmtId="0" fontId="8" fillId="4" borderId="14" xfId="0" applyFont="1" applyFill="1" applyBorder="1" applyAlignment="1">
      <alignment horizontal="left" vertical="center"/>
    </xf>
    <xf numFmtId="0" fontId="8" fillId="6" borderId="0" xfId="0" applyFont="1" applyFill="1" applyAlignment="1">
      <alignment horizontal="left" vertical="center"/>
    </xf>
    <xf numFmtId="165" fontId="8" fillId="6" borderId="0" xfId="0" applyNumberFormat="1" applyFont="1" applyFill="1" applyAlignment="1">
      <alignment horizontal="left" vertical="center"/>
    </xf>
    <xf numFmtId="0" fontId="7" fillId="2" borderId="1" xfId="0" applyFont="1" applyFill="1" applyBorder="1" applyAlignment="1" applyProtection="1">
      <alignment horizontal="center"/>
      <protection locked="0"/>
    </xf>
    <xf numFmtId="165" fontId="12" fillId="2" borderId="1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Alignment="1">
      <alignment horizontal="center" vertical="top" wrapText="1"/>
    </xf>
    <xf numFmtId="0" fontId="6" fillId="0" borderId="0" xfId="0" applyFont="1" applyAlignment="1">
      <alignment horizontal="center" vertical="top"/>
    </xf>
    <xf numFmtId="10" fontId="12" fillId="2" borderId="13" xfId="0" applyNumberFormat="1" applyFont="1" applyFill="1" applyBorder="1" applyAlignment="1" applyProtection="1">
      <alignment horizontal="center"/>
      <protection locked="0"/>
    </xf>
    <xf numFmtId="10" fontId="12" fillId="2" borderId="15" xfId="0" applyNumberFormat="1" applyFont="1" applyFill="1" applyBorder="1" applyAlignment="1" applyProtection="1">
      <alignment horizontal="center"/>
      <protection locked="0"/>
    </xf>
    <xf numFmtId="10" fontId="12" fillId="2" borderId="14" xfId="0" applyNumberFormat="1" applyFont="1" applyFill="1" applyBorder="1" applyAlignment="1" applyProtection="1">
      <alignment horizontal="center"/>
      <protection locked="0"/>
    </xf>
    <xf numFmtId="0" fontId="12" fillId="2" borderId="1" xfId="0" applyFont="1" applyFill="1" applyBorder="1" applyAlignment="1" applyProtection="1">
      <alignment horizontal="center"/>
      <protection locked="0"/>
    </xf>
    <xf numFmtId="0" fontId="13" fillId="5" borderId="13" xfId="0" applyFont="1" applyFill="1" applyBorder="1" applyAlignment="1">
      <alignment horizontal="center"/>
    </xf>
    <xf numFmtId="0" fontId="13" fillId="5" borderId="14" xfId="0" applyFont="1" applyFill="1" applyBorder="1" applyAlignment="1">
      <alignment horizontal="center"/>
    </xf>
    <xf numFmtId="0" fontId="13" fillId="5" borderId="15" xfId="0" applyFont="1" applyFill="1" applyBorder="1" applyAlignment="1">
      <alignment horizontal="center"/>
    </xf>
    <xf numFmtId="165" fontId="7" fillId="3" borderId="13" xfId="0" applyNumberFormat="1" applyFont="1" applyFill="1" applyBorder="1" applyAlignment="1">
      <alignment horizontal="right"/>
    </xf>
    <xf numFmtId="165" fontId="7" fillId="3" borderId="14" xfId="0" applyNumberFormat="1" applyFont="1" applyFill="1" applyBorder="1" applyAlignment="1">
      <alignment horizontal="right"/>
    </xf>
    <xf numFmtId="0" fontId="2" fillId="6" borderId="0" xfId="0" applyFont="1" applyFill="1" applyAlignment="1">
      <alignment horizontal="center" vertical="center"/>
    </xf>
    <xf numFmtId="165" fontId="3" fillId="6" borderId="0" xfId="0" applyNumberFormat="1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 wrapText="1"/>
    </xf>
    <xf numFmtId="165" fontId="3" fillId="6" borderId="0" xfId="0" applyNumberFormat="1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 wrapText="1"/>
    </xf>
    <xf numFmtId="0" fontId="16" fillId="4" borderId="3" xfId="0" applyFont="1" applyFill="1" applyBorder="1" applyAlignment="1">
      <alignment horizontal="center" vertical="center"/>
    </xf>
    <xf numFmtId="0" fontId="16" fillId="4" borderId="17" xfId="0" applyFont="1" applyFill="1" applyBorder="1" applyAlignment="1">
      <alignment horizontal="center" vertical="center"/>
    </xf>
    <xf numFmtId="0" fontId="16" fillId="4" borderId="8" xfId="0" applyFont="1" applyFill="1" applyBorder="1" applyAlignment="1">
      <alignment horizontal="center" vertical="center"/>
    </xf>
    <xf numFmtId="0" fontId="16" fillId="4" borderId="18" xfId="0" applyFont="1" applyFill="1" applyBorder="1" applyAlignment="1">
      <alignment horizontal="center" vertical="center"/>
    </xf>
    <xf numFmtId="165" fontId="15" fillId="0" borderId="4" xfId="0" applyNumberFormat="1" applyFont="1" applyBorder="1" applyAlignment="1">
      <alignment horizontal="center" vertical="center"/>
    </xf>
    <xf numFmtId="165" fontId="15" fillId="0" borderId="5" xfId="0" applyNumberFormat="1" applyFont="1" applyBorder="1" applyAlignment="1">
      <alignment horizontal="center" vertical="center"/>
    </xf>
    <xf numFmtId="165" fontId="15" fillId="0" borderId="9" xfId="0" applyNumberFormat="1" applyFont="1" applyBorder="1" applyAlignment="1">
      <alignment horizontal="center" vertical="center"/>
    </xf>
    <xf numFmtId="165" fontId="15" fillId="0" borderId="10" xfId="0" applyNumberFormat="1" applyFont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 wrapText="1"/>
    </xf>
    <xf numFmtId="0" fontId="16" fillId="4" borderId="17" xfId="0" applyFont="1" applyFill="1" applyBorder="1" applyAlignment="1">
      <alignment horizontal="center" vertical="center" wrapText="1"/>
    </xf>
    <xf numFmtId="0" fontId="16" fillId="4" borderId="8" xfId="0" applyFont="1" applyFill="1" applyBorder="1" applyAlignment="1">
      <alignment horizontal="center" vertical="center" wrapText="1"/>
    </xf>
    <xf numFmtId="0" fontId="16" fillId="4" borderId="18" xfId="0" applyFont="1" applyFill="1" applyBorder="1" applyAlignment="1">
      <alignment horizontal="center" vertical="center" wrapText="1"/>
    </xf>
    <xf numFmtId="165" fontId="15" fillId="0" borderId="4" xfId="0" applyNumberFormat="1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10" fontId="12" fillId="2" borderId="1" xfId="0" applyNumberFormat="1" applyFont="1" applyFill="1" applyBorder="1" applyAlignment="1" applyProtection="1">
      <alignment horizontal="center"/>
      <protection locked="0"/>
    </xf>
    <xf numFmtId="0" fontId="13" fillId="5" borderId="16" xfId="0" applyFont="1" applyFill="1" applyBorder="1" applyAlignment="1">
      <alignment horizontal="center"/>
    </xf>
    <xf numFmtId="0" fontId="13" fillId="5" borderId="19" xfId="0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7" fillId="0" borderId="9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9" fillId="6" borderId="0" xfId="0" applyFont="1" applyFill="1" applyAlignment="1">
      <alignment horizontal="center"/>
    </xf>
    <xf numFmtId="0" fontId="9" fillId="6" borderId="0" xfId="0" applyFont="1" applyFill="1" applyAlignment="1">
      <alignment horizontal="center" vertical="center"/>
    </xf>
    <xf numFmtId="0" fontId="24" fillId="6" borderId="0" xfId="0" applyFont="1" applyFill="1" applyAlignment="1">
      <alignment horizontal="center"/>
    </xf>
    <xf numFmtId="0" fontId="7" fillId="6" borderId="2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20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0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/>
    </xf>
    <xf numFmtId="0" fontId="1" fillId="5" borderId="19" xfId="0" applyFont="1" applyFill="1" applyBorder="1" applyAlignment="1">
      <alignment horizontal="center" vertical="center"/>
    </xf>
    <xf numFmtId="165" fontId="8" fillId="4" borderId="21" xfId="0" applyNumberFormat="1" applyFont="1" applyFill="1" applyBorder="1" applyAlignment="1">
      <alignment horizontal="center" vertical="center"/>
    </xf>
    <xf numFmtId="0" fontId="8" fillId="4" borderId="22" xfId="0" applyFont="1" applyFill="1" applyBorder="1" applyAlignment="1">
      <alignment horizontal="center" vertical="center"/>
    </xf>
    <xf numFmtId="0" fontId="8" fillId="4" borderId="23" xfId="0" applyFont="1" applyFill="1" applyBorder="1" applyAlignment="1">
      <alignment horizontal="center" vertical="center"/>
    </xf>
    <xf numFmtId="0" fontId="8" fillId="4" borderId="19" xfId="0" applyFont="1" applyFill="1" applyBorder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22" fillId="6" borderId="0" xfId="0" applyFont="1" applyFill="1" applyAlignment="1">
      <alignment horizontal="center" vertical="center"/>
    </xf>
    <xf numFmtId="165" fontId="7" fillId="2" borderId="21" xfId="0" applyNumberFormat="1" applyFont="1" applyFill="1" applyBorder="1" applyAlignment="1" applyProtection="1">
      <alignment horizontal="center" vertical="center"/>
      <protection locked="0"/>
    </xf>
    <xf numFmtId="165" fontId="7" fillId="2" borderId="22" xfId="0" applyNumberFormat="1" applyFont="1" applyFill="1" applyBorder="1" applyAlignment="1" applyProtection="1">
      <alignment horizontal="center" vertical="center"/>
      <protection locked="0"/>
    </xf>
    <xf numFmtId="165" fontId="7" fillId="2" borderId="23" xfId="0" applyNumberFormat="1" applyFont="1" applyFill="1" applyBorder="1" applyAlignment="1" applyProtection="1">
      <alignment horizontal="center" vertical="center"/>
      <protection locked="0"/>
    </xf>
    <xf numFmtId="165" fontId="7" fillId="2" borderId="19" xfId="0" applyNumberFormat="1" applyFont="1" applyFill="1" applyBorder="1" applyAlignment="1" applyProtection="1">
      <alignment horizontal="center" vertical="center"/>
      <protection locked="0"/>
    </xf>
    <xf numFmtId="0" fontId="7" fillId="2" borderId="21" xfId="0" applyFont="1" applyFill="1" applyBorder="1" applyAlignment="1" applyProtection="1">
      <alignment horizontal="center" vertical="center"/>
      <protection locked="0"/>
    </xf>
    <xf numFmtId="0" fontId="7" fillId="2" borderId="22" xfId="0" applyFont="1" applyFill="1" applyBorder="1" applyAlignment="1" applyProtection="1">
      <alignment horizontal="center" vertical="center"/>
      <protection locked="0"/>
    </xf>
    <xf numFmtId="0" fontId="7" fillId="2" borderId="23" xfId="0" applyFont="1" applyFill="1" applyBorder="1" applyAlignment="1" applyProtection="1">
      <alignment horizontal="center" vertical="center"/>
      <protection locked="0"/>
    </xf>
    <xf numFmtId="0" fontId="7" fillId="2" borderId="19" xfId="0" applyFont="1" applyFill="1" applyBorder="1" applyAlignment="1" applyProtection="1">
      <alignment horizontal="center" vertical="center"/>
      <protection locked="0"/>
    </xf>
    <xf numFmtId="0" fontId="7" fillId="0" borderId="15" xfId="0" applyFont="1" applyBorder="1" applyAlignment="1">
      <alignment horizontal="center"/>
    </xf>
    <xf numFmtId="0" fontId="10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20" xfId="0" applyFont="1" applyBorder="1" applyAlignment="1">
      <alignment horizontal="center"/>
    </xf>
  </cellXfs>
  <cellStyles count="1">
    <cellStyle name="Normal" xfId="0" builtinId="0"/>
  </cellStyles>
  <dxfs count="13">
    <dxf>
      <font>
        <color theme="1"/>
      </font>
      <fill>
        <patternFill>
          <bgColor rgb="FFE5E6E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68A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A1CE57"/>
      <color rgb="FF005F9E"/>
      <color rgb="FFE5E6E2"/>
      <color rgb="FF00A39D"/>
      <color rgb="FFB2B5B6"/>
      <color rgb="FFF68A33"/>
      <color rgb="FFE5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X$35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1156335</xdr:colOff>
      <xdr:row>54</xdr:row>
      <xdr:rowOff>60960</xdr:rowOff>
    </xdr:from>
    <xdr:to>
      <xdr:col>1</xdr:col>
      <xdr:colOff>441960</xdr:colOff>
      <xdr:row>57</xdr:row>
      <xdr:rowOff>198119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6335" y="6737985"/>
          <a:ext cx="1343025" cy="670559"/>
        </a:xfrm>
        <a:prstGeom prst="rect">
          <a:avLst/>
        </a:prstGeom>
      </xdr:spPr>
    </xdr:pic>
    <xdr:clientData/>
  </xdr:twoCellAnchor>
  <xdr:twoCellAnchor>
    <xdr:from>
      <xdr:col>10</xdr:col>
      <xdr:colOff>323850</xdr:colOff>
      <xdr:row>54</xdr:row>
      <xdr:rowOff>19050</xdr:rowOff>
    </xdr:from>
    <xdr:to>
      <xdr:col>14</xdr:col>
      <xdr:colOff>83820</xdr:colOff>
      <xdr:row>57</xdr:row>
      <xdr:rowOff>127635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1763375" y="5867400"/>
          <a:ext cx="5246370" cy="641985"/>
        </a:xfrm>
        <a:prstGeom prst="rect">
          <a:avLst/>
        </a:prstGeom>
        <a:solidFill>
          <a:srgbClr val="00A39D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>
              <a:latin typeface="Futura LT Pro Book" panose="020B0502020204020303" pitchFamily="34" charset="0"/>
            </a:rPr>
            <a:t>Please</a:t>
          </a:r>
          <a:r>
            <a:rPr lang="en-US" sz="1400" baseline="0">
              <a:latin typeface="Futura LT Pro Book" panose="020B0502020204020303" pitchFamily="34" charset="0"/>
            </a:rPr>
            <a:t> fill out each statement's dates, total monthly deposits, and unallowble deposits to determine the borrower's monthly income</a:t>
          </a:r>
          <a:endParaRPr lang="en-US" sz="1400">
            <a:latin typeface="Futura LT Pro Book" panose="020B05020202040203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1</xdr:row>
          <xdr:rowOff>133350</xdr:rowOff>
        </xdr:from>
        <xdr:to>
          <xdr:col>13</xdr:col>
          <xdr:colOff>533400</xdr:colOff>
          <xdr:row>3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891540</xdr:colOff>
      <xdr:row>56</xdr:row>
      <xdr:rowOff>32385</xdr:rowOff>
    </xdr:from>
    <xdr:to>
      <xdr:col>1</xdr:col>
      <xdr:colOff>110490</xdr:colOff>
      <xdr:row>59</xdr:row>
      <xdr:rowOff>123824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1540" y="6642735"/>
          <a:ext cx="1343025" cy="672464"/>
        </a:xfrm>
        <a:prstGeom prst="rect">
          <a:avLst/>
        </a:prstGeom>
      </xdr:spPr>
    </xdr:pic>
    <xdr:clientData/>
  </xdr:twoCellAnchor>
  <xdr:twoCellAnchor>
    <xdr:from>
      <xdr:col>10</xdr:col>
      <xdr:colOff>219075</xdr:colOff>
      <xdr:row>55</xdr:row>
      <xdr:rowOff>121920</xdr:rowOff>
    </xdr:from>
    <xdr:to>
      <xdr:col>14</xdr:col>
      <xdr:colOff>53340</xdr:colOff>
      <xdr:row>59</xdr:row>
      <xdr:rowOff>127635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1839575" y="5522595"/>
          <a:ext cx="5320665" cy="786765"/>
        </a:xfrm>
        <a:prstGeom prst="rect">
          <a:avLst/>
        </a:prstGeom>
        <a:solidFill>
          <a:srgbClr val="00A39D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>
              <a:latin typeface="Futura LT Pro Book" panose="020B0502020204020303" pitchFamily="34" charset="0"/>
            </a:rPr>
            <a:t>Please</a:t>
          </a:r>
          <a:r>
            <a:rPr lang="en-US" sz="1400" baseline="0">
              <a:latin typeface="Futura LT Pro Book" panose="020B0502020204020303" pitchFamily="34" charset="0"/>
            </a:rPr>
            <a:t> fill out each statement's dates, total monthly deposits, and unallowble deposits to determine the borrower's net revenue. </a:t>
          </a:r>
          <a:endParaRPr lang="en-US" sz="1400">
            <a:latin typeface="Futura LT Pro Book" panose="020B05020202040203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1</xdr:row>
          <xdr:rowOff>276225</xdr:rowOff>
        </xdr:from>
        <xdr:to>
          <xdr:col>12</xdr:col>
          <xdr:colOff>1209675</xdr:colOff>
          <xdr:row>3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257175</xdr:colOff>
      <xdr:row>0</xdr:row>
      <xdr:rowOff>190500</xdr:rowOff>
    </xdr:from>
    <xdr:to>
      <xdr:col>13</xdr:col>
      <xdr:colOff>1778000</xdr:colOff>
      <xdr:row>0</xdr:row>
      <xdr:rowOff>647700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881842" y="190500"/>
          <a:ext cx="6143625" cy="4572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>
              <a:latin typeface="Futura LT Pro Medium" panose="020B0602020204020303" pitchFamily="34" charset="0"/>
            </a:rPr>
            <a:t>Bank Statement</a:t>
          </a:r>
          <a:r>
            <a:rPr lang="en-US" sz="2000" baseline="0">
              <a:latin typeface="Futura LT Pro Medium" panose="020B0602020204020303" pitchFamily="34" charset="0"/>
            </a:rPr>
            <a:t> Loan Business Income Calculator </a:t>
          </a:r>
          <a:endParaRPr lang="en-US" sz="2000">
            <a:latin typeface="Futura LT Pro Medium" panose="020B0602020204020303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609599</xdr:rowOff>
    </xdr:from>
    <xdr:to>
      <xdr:col>6</xdr:col>
      <xdr:colOff>118533</xdr:colOff>
      <xdr:row>1</xdr:row>
      <xdr:rowOff>159807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0" y="609599"/>
          <a:ext cx="3352800" cy="69320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>
              <a:latin typeface="Futura LT Pro Book" panose="020B0502020204020303" pitchFamily="34" charset="0"/>
            </a:rPr>
            <a:t>Option #1</a:t>
          </a:r>
          <a:r>
            <a:rPr lang="en-US" sz="1400" baseline="0">
              <a:latin typeface="Futura LT Pro Book" panose="020B0502020204020303" pitchFamily="34" charset="0"/>
            </a:rPr>
            <a:t> - Fixed Expense Ratio</a:t>
          </a:r>
        </a:p>
        <a:p>
          <a:pPr algn="ctr"/>
          <a:r>
            <a:rPr lang="en-US" sz="1200" baseline="0">
              <a:latin typeface="Futura LT Pro Book" panose="020B0502020204020303" pitchFamily="34" charset="0"/>
            </a:rPr>
            <a:t>(12 month total x ownership) / 12 x 50%</a:t>
          </a:r>
          <a:endParaRPr lang="en-US" sz="1200">
            <a:latin typeface="Futura LT Pro Book" panose="020B0502020204020303" pitchFamily="34" charset="0"/>
          </a:endParaRPr>
        </a:p>
      </xdr:txBody>
    </xdr:sp>
    <xdr:clientData/>
  </xdr:twoCellAnchor>
  <xdr:twoCellAnchor>
    <xdr:from>
      <xdr:col>6</xdr:col>
      <xdr:colOff>133350</xdr:colOff>
      <xdr:row>0</xdr:row>
      <xdr:rowOff>819150</xdr:rowOff>
    </xdr:from>
    <xdr:to>
      <xdr:col>10</xdr:col>
      <xdr:colOff>552450</xdr:colOff>
      <xdr:row>1</xdr:row>
      <xdr:rowOff>133350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4257675" y="819150"/>
          <a:ext cx="3695700" cy="4572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>
              <a:latin typeface="Futura LT Pro Book" panose="020B0502020204020303" pitchFamily="34" charset="0"/>
            </a:rPr>
            <a:t>Option #2</a:t>
          </a:r>
          <a:r>
            <a:rPr lang="en-US" sz="1400" baseline="0">
              <a:latin typeface="Futura LT Pro Book" panose="020B0502020204020303" pitchFamily="34" charset="0"/>
            </a:rPr>
            <a:t> - CPA Expense Ratio</a:t>
          </a:r>
          <a:endParaRPr lang="en-US" sz="1400">
            <a:latin typeface="Futura LT Pro Book" panose="020B0502020204020303" pitchFamily="34" charset="0"/>
          </a:endParaRPr>
        </a:p>
      </xdr:txBody>
    </xdr:sp>
    <xdr:clientData/>
  </xdr:twoCellAnchor>
  <xdr:twoCellAnchor>
    <xdr:from>
      <xdr:col>13</xdr:col>
      <xdr:colOff>28575</xdr:colOff>
      <xdr:row>0</xdr:row>
      <xdr:rowOff>809625</xdr:rowOff>
    </xdr:from>
    <xdr:to>
      <xdr:col>15</xdr:col>
      <xdr:colOff>1219200</xdr:colOff>
      <xdr:row>1</xdr:row>
      <xdr:rowOff>123825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9134475" y="809625"/>
          <a:ext cx="3695700" cy="4572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>
              <a:latin typeface="Futura LT Pro Book" panose="020B0502020204020303" pitchFamily="34" charset="0"/>
            </a:rPr>
            <a:t>Option #3</a:t>
          </a:r>
          <a:r>
            <a:rPr lang="en-US" sz="1400" baseline="0">
              <a:latin typeface="Futura LT Pro Book" panose="020B0502020204020303" pitchFamily="34" charset="0"/>
            </a:rPr>
            <a:t> - P&amp;L Expense Ratio</a:t>
          </a:r>
          <a:endParaRPr lang="en-US" sz="1400">
            <a:latin typeface="Futura LT Pro Book" panose="020B0502020204020303" pitchFamily="34" charset="0"/>
          </a:endParaRPr>
        </a:p>
      </xdr:txBody>
    </xdr:sp>
    <xdr:clientData/>
  </xdr:twoCellAnchor>
  <xdr:twoCellAnchor>
    <xdr:from>
      <xdr:col>3</xdr:col>
      <xdr:colOff>1300163</xdr:colOff>
      <xdr:row>24</xdr:row>
      <xdr:rowOff>63500</xdr:rowOff>
    </xdr:from>
    <xdr:to>
      <xdr:col>9</xdr:col>
      <xdr:colOff>385763</xdr:colOff>
      <xdr:row>27</xdr:row>
      <xdr:rowOff>100012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2138363" y="6016625"/>
          <a:ext cx="4629150" cy="608012"/>
        </a:xfrm>
        <a:prstGeom prst="rect">
          <a:avLst/>
        </a:prstGeom>
        <a:solidFill>
          <a:srgbClr val="00A39D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latin typeface="Futura LT Pro Medium" panose="020B0602020204020303" pitchFamily="34" charset="0"/>
            </a:rPr>
            <a:t>Please</a:t>
          </a:r>
          <a:r>
            <a:rPr lang="en-US" sz="1400" baseline="0">
              <a:latin typeface="Futura LT Pro Medium" panose="020B0602020204020303" pitchFamily="34" charset="0"/>
            </a:rPr>
            <a:t> fill out the green boxes to determine the borrower's qualifying income based on each option.</a:t>
          </a:r>
          <a:endParaRPr lang="en-US" sz="1400">
            <a:latin typeface="Futura LT Pro Medium" panose="020B0602020204020303" pitchFamily="34" charset="0"/>
          </a:endParaRPr>
        </a:p>
      </xdr:txBody>
    </xdr:sp>
    <xdr:clientData/>
  </xdr:twoCellAnchor>
  <xdr:twoCellAnchor editAs="oneCell">
    <xdr:from>
      <xdr:col>2</xdr:col>
      <xdr:colOff>182563</xdr:colOff>
      <xdr:row>25</xdr:row>
      <xdr:rowOff>55562</xdr:rowOff>
    </xdr:from>
    <xdr:to>
      <xdr:col>3</xdr:col>
      <xdr:colOff>965835</xdr:colOff>
      <xdr:row>28</xdr:row>
      <xdr:rowOff>178434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63" y="5921375"/>
          <a:ext cx="1394460" cy="67055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885825</xdr:colOff>
          <xdr:row>0</xdr:row>
          <xdr:rowOff>771525</xdr:rowOff>
        </xdr:from>
        <xdr:to>
          <xdr:col>16</xdr:col>
          <xdr:colOff>504825</xdr:colOff>
          <xdr:row>1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116202</xdr:colOff>
      <xdr:row>24</xdr:row>
      <xdr:rowOff>36195</xdr:rowOff>
    </xdr:from>
    <xdr:to>
      <xdr:col>17</xdr:col>
      <xdr:colOff>152399</xdr:colOff>
      <xdr:row>27</xdr:row>
      <xdr:rowOff>95251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7221852" y="5579745"/>
          <a:ext cx="5922647" cy="630556"/>
        </a:xfrm>
        <a:prstGeom prst="rect">
          <a:avLst/>
        </a:prstGeom>
        <a:solidFill>
          <a:srgbClr val="005F9E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  <a:latin typeface="Futura LT Pro Medium" panose="020B0602020204020303" pitchFamily="34" charset="0"/>
            </a:rPr>
            <a:t>If</a:t>
          </a:r>
          <a:r>
            <a:rPr lang="en-US" sz="1400" baseline="0">
              <a:solidFill>
                <a:schemeClr val="bg1"/>
              </a:solidFill>
              <a:latin typeface="Futura LT Pro Medium" panose="020B0602020204020303" pitchFamily="34" charset="0"/>
            </a:rPr>
            <a:t> we are trying to use P&amp;L to qualify. Underwriter must only use 12 months for the Business Asset Analysis (unless the P&amp;L also covers 24 months)</a:t>
          </a:r>
          <a:endParaRPr lang="en-US" sz="1400">
            <a:solidFill>
              <a:schemeClr val="bg1"/>
            </a:solidFill>
            <a:latin typeface="Futura LT Pro Medium" panose="020B0602020204020303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12</xdr:row>
          <xdr:rowOff>66675</xdr:rowOff>
        </xdr:from>
        <xdr:to>
          <xdr:col>8</xdr:col>
          <xdr:colOff>323850</xdr:colOff>
          <xdr:row>15</xdr:row>
          <xdr:rowOff>57150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180975</xdr:colOff>
      <xdr:row>3</xdr:row>
      <xdr:rowOff>9525</xdr:rowOff>
    </xdr:from>
    <xdr:to>
      <xdr:col>8</xdr:col>
      <xdr:colOff>1853567</xdr:colOff>
      <xdr:row>8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4867275" y="581025"/>
          <a:ext cx="5673092" cy="561975"/>
        </a:xfrm>
        <a:prstGeom prst="rect">
          <a:avLst/>
        </a:prstGeom>
        <a:solidFill>
          <a:srgbClr val="005F9E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  <a:latin typeface="Futura LT Pro Medium" panose="020B0602020204020303" pitchFamily="34" charset="0"/>
            </a:rPr>
            <a:t>REO address must be filled out to ensure that the proper</a:t>
          </a:r>
          <a:r>
            <a:rPr lang="en-US" sz="1400" baseline="0">
              <a:solidFill>
                <a:schemeClr val="bg1"/>
              </a:solidFill>
              <a:latin typeface="Futura LT Pro Medium" panose="020B0602020204020303" pitchFamily="34" charset="0"/>
            </a:rPr>
            <a:t> reserve calculation is used. </a:t>
          </a:r>
          <a:endParaRPr lang="en-US" sz="1400">
            <a:solidFill>
              <a:schemeClr val="bg1"/>
            </a:solidFill>
            <a:latin typeface="Futura LT Pro Medium" panose="020B06020202040203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30</xdr:row>
          <xdr:rowOff>161925</xdr:rowOff>
        </xdr:from>
        <xdr:to>
          <xdr:col>7</xdr:col>
          <xdr:colOff>171450</xdr:colOff>
          <xdr:row>32</xdr:row>
          <xdr:rowOff>76200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Retirement age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69"/>
  <sheetViews>
    <sheetView showGridLines="0" zoomScaleNormal="100" workbookViewId="0">
      <selection activeCell="B20" sqref="B20"/>
    </sheetView>
  </sheetViews>
  <sheetFormatPr defaultColWidth="0" defaultRowHeight="15" zeroHeight="1"/>
  <cols>
    <col min="1" max="1" width="30.85546875" customWidth="1"/>
    <col min="2" max="2" width="17.85546875" customWidth="1"/>
    <col min="3" max="3" width="12" hidden="1" customWidth="1"/>
    <col min="4" max="4" width="22.5703125" customWidth="1"/>
    <col min="5" max="5" width="17.85546875" customWidth="1"/>
    <col min="6" max="6" width="23.140625" customWidth="1"/>
    <col min="7" max="7" width="18.5703125" customWidth="1"/>
    <col min="8" max="8" width="22.85546875" customWidth="1"/>
    <col min="9" max="9" width="17.85546875" customWidth="1"/>
    <col min="10" max="10" width="0" hidden="1" customWidth="1"/>
    <col min="11" max="11" width="23" customWidth="1"/>
    <col min="12" max="12" width="18.140625" customWidth="1"/>
    <col min="13" max="13" width="24.28515625" customWidth="1"/>
    <col min="14" max="14" width="16.85546875" customWidth="1"/>
    <col min="15" max="15" width="9.140625" customWidth="1"/>
    <col min="16" max="16" width="9.140625" hidden="1" customWidth="1"/>
    <col min="17" max="17" width="16.140625" hidden="1" customWidth="1"/>
    <col min="18" max="16384" width="9.140625" hidden="1"/>
  </cols>
  <sheetData>
    <row r="1" spans="1:17" ht="33" customHeight="1"/>
    <row r="2" spans="1:17" ht="22.5" customHeight="1">
      <c r="A2" s="18" t="s">
        <v>27</v>
      </c>
      <c r="B2" s="97"/>
      <c r="C2" s="97"/>
      <c r="D2" s="97"/>
      <c r="E2" s="92" t="s">
        <v>29</v>
      </c>
      <c r="F2" s="93"/>
      <c r="G2" s="93"/>
      <c r="H2" s="93"/>
      <c r="I2" s="93"/>
      <c r="J2" s="93"/>
      <c r="K2" s="93"/>
      <c r="L2" s="11"/>
      <c r="M2" s="11"/>
      <c r="N2" s="11"/>
    </row>
    <row r="3" spans="1:17" ht="18" hidden="1">
      <c r="A3" s="18" t="s">
        <v>28</v>
      </c>
      <c r="B3" s="90"/>
      <c r="C3" s="90"/>
      <c r="D3" s="90"/>
      <c r="E3" s="11"/>
      <c r="F3" s="11"/>
      <c r="G3" s="11"/>
      <c r="H3" s="11"/>
      <c r="I3" s="11"/>
      <c r="J3" s="11"/>
      <c r="K3" s="11"/>
      <c r="L3" s="11"/>
      <c r="M3" s="11"/>
      <c r="N3" s="11"/>
    </row>
    <row r="4" spans="1:17" ht="18">
      <c r="A4" s="18" t="s">
        <v>42</v>
      </c>
      <c r="B4" s="91"/>
      <c r="C4" s="91"/>
      <c r="D4" s="91"/>
      <c r="E4" s="19"/>
      <c r="F4" s="20"/>
      <c r="G4" s="11"/>
      <c r="H4" s="11"/>
      <c r="I4" s="11"/>
      <c r="J4" s="11"/>
      <c r="K4" s="11"/>
      <c r="L4" s="11"/>
      <c r="M4" s="11"/>
      <c r="N4" s="11"/>
    </row>
    <row r="5" spans="1:17" ht="18">
      <c r="A5" s="21" t="s">
        <v>31</v>
      </c>
      <c r="B5" s="94"/>
      <c r="C5" s="95"/>
      <c r="D5" s="96"/>
      <c r="E5" s="19"/>
      <c r="F5" s="20"/>
      <c r="G5" s="11"/>
      <c r="H5" s="11"/>
      <c r="I5" s="22"/>
      <c r="J5" s="22"/>
      <c r="K5" s="11"/>
      <c r="L5" s="11"/>
      <c r="M5" s="11"/>
      <c r="N5" s="11"/>
    </row>
    <row r="6" spans="1:17" ht="15.75">
      <c r="A6" s="98" t="s">
        <v>9</v>
      </c>
      <c r="B6" s="100"/>
      <c r="C6" s="99"/>
      <c r="D6" s="98" t="s">
        <v>10</v>
      </c>
      <c r="E6" s="99"/>
      <c r="F6" s="98" t="s">
        <v>11</v>
      </c>
      <c r="G6" s="99"/>
      <c r="H6" s="98" t="s">
        <v>17</v>
      </c>
      <c r="I6" s="100"/>
      <c r="J6" s="99"/>
      <c r="K6" s="98" t="s">
        <v>18</v>
      </c>
      <c r="L6" s="99"/>
      <c r="M6" s="98" t="s">
        <v>19</v>
      </c>
      <c r="N6" s="99"/>
      <c r="Q6" t="s">
        <v>36</v>
      </c>
    </row>
    <row r="7" spans="1:17">
      <c r="A7" s="23" t="s">
        <v>12</v>
      </c>
      <c r="B7" s="51"/>
      <c r="C7" s="52"/>
      <c r="D7" s="23" t="s">
        <v>12</v>
      </c>
      <c r="E7" s="51"/>
      <c r="F7" s="23" t="s">
        <v>12</v>
      </c>
      <c r="G7" s="51"/>
      <c r="H7" s="23" t="s">
        <v>12</v>
      </c>
      <c r="I7" s="51"/>
      <c r="J7" s="52"/>
      <c r="K7" s="23" t="s">
        <v>12</v>
      </c>
      <c r="L7" s="51"/>
      <c r="M7" s="23" t="s">
        <v>12</v>
      </c>
      <c r="N7" s="51"/>
      <c r="Q7" s="8">
        <f>SUM(B14,E14,G14,I14,L14,N14,N25,L25,I25,G25,E25,B25)</f>
        <v>0</v>
      </c>
    </row>
    <row r="8" spans="1:17">
      <c r="A8" s="23" t="s">
        <v>13</v>
      </c>
      <c r="B8" s="51"/>
      <c r="C8" s="52"/>
      <c r="D8" s="23" t="s">
        <v>13</v>
      </c>
      <c r="E8" s="51"/>
      <c r="F8" s="23" t="s">
        <v>13</v>
      </c>
      <c r="G8" s="51"/>
      <c r="H8" s="23" t="s">
        <v>13</v>
      </c>
      <c r="I8" s="51"/>
      <c r="J8" s="52"/>
      <c r="K8" s="23" t="s">
        <v>13</v>
      </c>
      <c r="L8" s="51"/>
      <c r="M8" s="23" t="s">
        <v>13</v>
      </c>
      <c r="N8" s="51"/>
    </row>
    <row r="9" spans="1:17">
      <c r="A9" s="23" t="s">
        <v>14</v>
      </c>
      <c r="B9" s="31"/>
      <c r="C9" s="53"/>
      <c r="D9" s="23" t="s">
        <v>14</v>
      </c>
      <c r="E9" s="31"/>
      <c r="F9" s="23" t="s">
        <v>14</v>
      </c>
      <c r="G9" s="31"/>
      <c r="H9" s="23" t="s">
        <v>14</v>
      </c>
      <c r="I9" s="31"/>
      <c r="J9" s="53"/>
      <c r="K9" s="23" t="s">
        <v>14</v>
      </c>
      <c r="L9" s="31"/>
      <c r="M9" s="23" t="s">
        <v>14</v>
      </c>
      <c r="N9" s="31"/>
      <c r="Q9" t="s">
        <v>37</v>
      </c>
    </row>
    <row r="10" spans="1:17">
      <c r="A10" s="26" t="s">
        <v>15</v>
      </c>
      <c r="B10" s="31"/>
      <c r="C10" s="53"/>
      <c r="D10" s="26" t="s">
        <v>15</v>
      </c>
      <c r="E10" s="31"/>
      <c r="F10" s="26" t="s">
        <v>15</v>
      </c>
      <c r="G10" s="31"/>
      <c r="H10" s="26" t="s">
        <v>15</v>
      </c>
      <c r="I10" s="31"/>
      <c r="J10" s="53"/>
      <c r="K10" s="26" t="s">
        <v>15</v>
      </c>
      <c r="L10" s="31"/>
      <c r="M10" s="26" t="s">
        <v>15</v>
      </c>
      <c r="N10" s="31"/>
      <c r="Q10" s="8">
        <f>SUM(B39,E39,G39,I39,L39,N39,N50,L50,I50,G50,E50,B50)</f>
        <v>0</v>
      </c>
    </row>
    <row r="11" spans="1:17">
      <c r="A11" s="26" t="s">
        <v>15</v>
      </c>
      <c r="B11" s="31"/>
      <c r="C11" s="53"/>
      <c r="D11" s="26" t="s">
        <v>15</v>
      </c>
      <c r="E11" s="31"/>
      <c r="F11" s="26" t="s">
        <v>15</v>
      </c>
      <c r="G11" s="31"/>
      <c r="H11" s="26" t="s">
        <v>15</v>
      </c>
      <c r="I11" s="31"/>
      <c r="J11" s="53"/>
      <c r="K11" s="26" t="s">
        <v>15</v>
      </c>
      <c r="L11" s="31"/>
      <c r="M11" s="26" t="s">
        <v>15</v>
      </c>
      <c r="N11" s="31"/>
    </row>
    <row r="12" spans="1:17">
      <c r="A12" s="26" t="s">
        <v>15</v>
      </c>
      <c r="B12" s="31"/>
      <c r="C12" s="53"/>
      <c r="D12" s="26" t="s">
        <v>15</v>
      </c>
      <c r="E12" s="31"/>
      <c r="F12" s="26" t="s">
        <v>15</v>
      </c>
      <c r="G12" s="31"/>
      <c r="H12" s="26" t="s">
        <v>15</v>
      </c>
      <c r="I12" s="31"/>
      <c r="J12" s="53"/>
      <c r="K12" s="26" t="s">
        <v>15</v>
      </c>
      <c r="L12" s="31"/>
      <c r="M12" s="26" t="s">
        <v>15</v>
      </c>
      <c r="N12" s="31"/>
    </row>
    <row r="13" spans="1:17">
      <c r="A13" s="26" t="s">
        <v>15</v>
      </c>
      <c r="B13" s="31"/>
      <c r="C13" s="53"/>
      <c r="D13" s="26" t="s">
        <v>15</v>
      </c>
      <c r="E13" s="31"/>
      <c r="F13" s="26" t="s">
        <v>15</v>
      </c>
      <c r="G13" s="31"/>
      <c r="H13" s="26" t="s">
        <v>15</v>
      </c>
      <c r="I13" s="31"/>
      <c r="J13" s="53"/>
      <c r="K13" s="26" t="s">
        <v>15</v>
      </c>
      <c r="L13" s="31"/>
      <c r="M13" s="26" t="s">
        <v>15</v>
      </c>
      <c r="N13" s="31"/>
    </row>
    <row r="14" spans="1:17">
      <c r="A14" s="27" t="s">
        <v>16</v>
      </c>
      <c r="B14" s="101">
        <f>B9-B10-B13-B12-B11</f>
        <v>0</v>
      </c>
      <c r="C14" s="102"/>
      <c r="D14" s="27" t="s">
        <v>16</v>
      </c>
      <c r="E14" s="16">
        <f>E9-E10-E12-E13-E11</f>
        <v>0</v>
      </c>
      <c r="F14" s="27" t="s">
        <v>16</v>
      </c>
      <c r="G14" s="16">
        <f>G9-G10-G12-G13-G11</f>
        <v>0</v>
      </c>
      <c r="H14" s="27" t="s">
        <v>16</v>
      </c>
      <c r="I14" s="101">
        <f>I9-I10-I13-I12-I11</f>
        <v>0</v>
      </c>
      <c r="J14" s="102"/>
      <c r="K14" s="27" t="s">
        <v>16</v>
      </c>
      <c r="L14" s="16">
        <f>L9-L10-L12-L13-L11</f>
        <v>0</v>
      </c>
      <c r="M14" s="27" t="s">
        <v>16</v>
      </c>
      <c r="N14" s="16">
        <f>N9-N10-N12-N13-N11</f>
        <v>0</v>
      </c>
    </row>
    <row r="15" spans="1:17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</row>
    <row r="16" spans="1:17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</row>
    <row r="17" spans="1:14" ht="15.75">
      <c r="A17" s="98" t="s">
        <v>21</v>
      </c>
      <c r="B17" s="100"/>
      <c r="C17" s="99"/>
      <c r="D17" s="98" t="s">
        <v>22</v>
      </c>
      <c r="E17" s="99"/>
      <c r="F17" s="98" t="s">
        <v>23</v>
      </c>
      <c r="G17" s="99"/>
      <c r="H17" s="98" t="s">
        <v>24</v>
      </c>
      <c r="I17" s="100"/>
      <c r="J17" s="99"/>
      <c r="K17" s="98" t="s">
        <v>25</v>
      </c>
      <c r="L17" s="99"/>
      <c r="M17" s="98" t="s">
        <v>26</v>
      </c>
      <c r="N17" s="99"/>
    </row>
    <row r="18" spans="1:14">
      <c r="A18" s="23" t="s">
        <v>12</v>
      </c>
      <c r="B18" s="51"/>
      <c r="C18" s="52"/>
      <c r="D18" s="23" t="s">
        <v>12</v>
      </c>
      <c r="E18" s="51"/>
      <c r="F18" s="23" t="s">
        <v>12</v>
      </c>
      <c r="G18" s="51"/>
      <c r="H18" s="23" t="s">
        <v>12</v>
      </c>
      <c r="I18" s="51"/>
      <c r="J18" s="52"/>
      <c r="K18" s="23" t="s">
        <v>12</v>
      </c>
      <c r="L18" s="51"/>
      <c r="M18" s="23" t="s">
        <v>12</v>
      </c>
      <c r="N18" s="51"/>
    </row>
    <row r="19" spans="1:14">
      <c r="A19" s="23" t="s">
        <v>13</v>
      </c>
      <c r="B19" s="51"/>
      <c r="C19" s="52"/>
      <c r="D19" s="23" t="s">
        <v>13</v>
      </c>
      <c r="E19" s="51"/>
      <c r="F19" s="23" t="s">
        <v>13</v>
      </c>
      <c r="G19" s="51"/>
      <c r="H19" s="23" t="s">
        <v>13</v>
      </c>
      <c r="I19" s="51"/>
      <c r="J19" s="52"/>
      <c r="K19" s="23" t="s">
        <v>13</v>
      </c>
      <c r="L19" s="51"/>
      <c r="M19" s="23" t="s">
        <v>13</v>
      </c>
      <c r="N19" s="51"/>
    </row>
    <row r="20" spans="1:14">
      <c r="A20" s="23" t="s">
        <v>14</v>
      </c>
      <c r="B20" s="31"/>
      <c r="C20" s="53"/>
      <c r="D20" s="23" t="s">
        <v>14</v>
      </c>
      <c r="E20" s="31"/>
      <c r="F20" s="23" t="s">
        <v>14</v>
      </c>
      <c r="G20" s="31"/>
      <c r="H20" s="23" t="s">
        <v>14</v>
      </c>
      <c r="I20" s="31"/>
      <c r="J20" s="53"/>
      <c r="K20" s="23" t="s">
        <v>14</v>
      </c>
      <c r="L20" s="31"/>
      <c r="M20" s="23" t="s">
        <v>14</v>
      </c>
      <c r="N20" s="31"/>
    </row>
    <row r="21" spans="1:14">
      <c r="A21" s="26" t="s">
        <v>15</v>
      </c>
      <c r="B21" s="31"/>
      <c r="C21" s="53"/>
      <c r="D21" s="26" t="s">
        <v>15</v>
      </c>
      <c r="E21" s="31"/>
      <c r="F21" s="26" t="s">
        <v>15</v>
      </c>
      <c r="G21" s="31"/>
      <c r="H21" s="26" t="s">
        <v>15</v>
      </c>
      <c r="I21" s="31"/>
      <c r="J21" s="53"/>
      <c r="K21" s="26" t="s">
        <v>15</v>
      </c>
      <c r="L21" s="31"/>
      <c r="M21" s="26" t="s">
        <v>15</v>
      </c>
      <c r="N21" s="31"/>
    </row>
    <row r="22" spans="1:14">
      <c r="A22" s="26" t="s">
        <v>15</v>
      </c>
      <c r="B22" s="31"/>
      <c r="C22" s="53"/>
      <c r="D22" s="26" t="s">
        <v>15</v>
      </c>
      <c r="E22" s="31"/>
      <c r="F22" s="26" t="s">
        <v>15</v>
      </c>
      <c r="G22" s="31"/>
      <c r="H22" s="26" t="s">
        <v>15</v>
      </c>
      <c r="I22" s="31"/>
      <c r="J22" s="53"/>
      <c r="K22" s="26" t="s">
        <v>15</v>
      </c>
      <c r="L22" s="31"/>
      <c r="M22" s="26" t="s">
        <v>15</v>
      </c>
      <c r="N22" s="31"/>
    </row>
    <row r="23" spans="1:14">
      <c r="A23" s="26" t="s">
        <v>15</v>
      </c>
      <c r="B23" s="31"/>
      <c r="C23" s="53"/>
      <c r="D23" s="26" t="s">
        <v>15</v>
      </c>
      <c r="E23" s="31"/>
      <c r="F23" s="26" t="s">
        <v>15</v>
      </c>
      <c r="G23" s="31"/>
      <c r="H23" s="26" t="s">
        <v>15</v>
      </c>
      <c r="I23" s="31"/>
      <c r="J23" s="53"/>
      <c r="K23" s="26" t="s">
        <v>15</v>
      </c>
      <c r="L23" s="31"/>
      <c r="M23" s="26" t="s">
        <v>15</v>
      </c>
      <c r="N23" s="31"/>
    </row>
    <row r="24" spans="1:14">
      <c r="A24" s="26" t="s">
        <v>15</v>
      </c>
      <c r="B24" s="31"/>
      <c r="C24" s="53"/>
      <c r="D24" s="26" t="s">
        <v>15</v>
      </c>
      <c r="E24" s="31"/>
      <c r="F24" s="26" t="s">
        <v>15</v>
      </c>
      <c r="G24" s="31"/>
      <c r="H24" s="26" t="s">
        <v>15</v>
      </c>
      <c r="I24" s="31"/>
      <c r="J24" s="53"/>
      <c r="K24" s="26" t="s">
        <v>15</v>
      </c>
      <c r="L24" s="31"/>
      <c r="M24" s="26" t="s">
        <v>15</v>
      </c>
      <c r="N24" s="31"/>
    </row>
    <row r="25" spans="1:14">
      <c r="A25" s="27" t="s">
        <v>16</v>
      </c>
      <c r="B25" s="101">
        <f>B20-B21-B24-B23-B22</f>
        <v>0</v>
      </c>
      <c r="C25" s="102"/>
      <c r="D25" s="27" t="s">
        <v>16</v>
      </c>
      <c r="E25" s="16">
        <f>E20-E21-E23-E24-E22</f>
        <v>0</v>
      </c>
      <c r="F25" s="27" t="s">
        <v>16</v>
      </c>
      <c r="G25" s="16">
        <f>G20-G21-G23-G24-G22</f>
        <v>0</v>
      </c>
      <c r="H25" s="27" t="s">
        <v>16</v>
      </c>
      <c r="I25" s="101">
        <f>I20-I21-I24-I23-I22</f>
        <v>0</v>
      </c>
      <c r="J25" s="102"/>
      <c r="K25" s="27" t="s">
        <v>16</v>
      </c>
      <c r="L25" s="16">
        <f>L20-L21-L23-L24-L22</f>
        <v>0</v>
      </c>
      <c r="M25" s="27" t="s">
        <v>16</v>
      </c>
      <c r="N25" s="16">
        <f>N20-N21-N23-N24-N22</f>
        <v>0</v>
      </c>
    </row>
    <row r="26" spans="1:14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</row>
    <row r="27" spans="1:14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</row>
    <row r="28" spans="1:14" ht="20.25" customHeight="1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</row>
    <row r="29" spans="1:14" ht="30.75" hidden="1" customHeight="1">
      <c r="A29" s="11"/>
      <c r="B29" s="11"/>
      <c r="C29" s="11"/>
      <c r="D29" s="11"/>
      <c r="E29" s="124" t="s">
        <v>35</v>
      </c>
      <c r="F29" s="124"/>
      <c r="G29" s="124"/>
      <c r="H29" s="124"/>
      <c r="I29" s="124"/>
      <c r="J29" s="124"/>
      <c r="K29" s="124"/>
      <c r="L29" s="11"/>
      <c r="M29" s="11"/>
      <c r="N29" s="11"/>
    </row>
    <row r="30" spans="1:14" ht="20.25" hidden="1" customHeight="1">
      <c r="A30" s="11"/>
      <c r="B30" s="11"/>
      <c r="C30" s="11"/>
      <c r="D30" s="28"/>
      <c r="E30" s="28"/>
      <c r="F30" s="29"/>
      <c r="G30" s="29"/>
      <c r="H30" s="30"/>
      <c r="I30" s="11"/>
      <c r="J30" s="11"/>
      <c r="K30" s="11"/>
      <c r="L30" s="11"/>
      <c r="M30" s="11"/>
      <c r="N30" s="11"/>
    </row>
    <row r="31" spans="1:14" ht="22.5" hidden="1" customHeight="1">
      <c r="A31" s="98" t="s">
        <v>9</v>
      </c>
      <c r="B31" s="100"/>
      <c r="C31" s="99"/>
      <c r="D31" s="98" t="s">
        <v>10</v>
      </c>
      <c r="E31" s="99"/>
      <c r="F31" s="98" t="s">
        <v>11</v>
      </c>
      <c r="G31" s="99"/>
      <c r="H31" s="98" t="s">
        <v>17</v>
      </c>
      <c r="I31" s="100"/>
      <c r="J31" s="99"/>
      <c r="K31" s="98" t="s">
        <v>18</v>
      </c>
      <c r="L31" s="99"/>
      <c r="M31" s="98" t="s">
        <v>19</v>
      </c>
      <c r="N31" s="99"/>
    </row>
    <row r="32" spans="1:14" ht="15" hidden="1" customHeight="1">
      <c r="A32" s="23" t="s">
        <v>12</v>
      </c>
      <c r="B32" s="51"/>
      <c r="C32" s="52"/>
      <c r="D32" s="23" t="s">
        <v>12</v>
      </c>
      <c r="E32" s="24"/>
      <c r="F32" s="23" t="s">
        <v>12</v>
      </c>
      <c r="G32" s="24"/>
      <c r="H32" s="23" t="s">
        <v>12</v>
      </c>
      <c r="I32" s="51"/>
      <c r="J32" s="52"/>
      <c r="K32" s="23" t="s">
        <v>12</v>
      </c>
      <c r="L32" s="24"/>
      <c r="M32" s="23" t="s">
        <v>12</v>
      </c>
      <c r="N32" s="24"/>
    </row>
    <row r="33" spans="1:14" ht="17.45" hidden="1" customHeight="1">
      <c r="A33" s="23" t="s">
        <v>13</v>
      </c>
      <c r="B33" s="51"/>
      <c r="C33" s="52"/>
      <c r="D33" s="23" t="s">
        <v>13</v>
      </c>
      <c r="E33" s="24"/>
      <c r="F33" s="23" t="s">
        <v>13</v>
      </c>
      <c r="G33" s="24"/>
      <c r="H33" s="23" t="s">
        <v>13</v>
      </c>
      <c r="I33" s="51"/>
      <c r="J33" s="52"/>
      <c r="K33" s="23" t="s">
        <v>13</v>
      </c>
      <c r="L33" s="24"/>
      <c r="M33" s="23" t="s">
        <v>13</v>
      </c>
      <c r="N33" s="24"/>
    </row>
    <row r="34" spans="1:14" hidden="1">
      <c r="A34" s="23" t="s">
        <v>14</v>
      </c>
      <c r="B34" s="31"/>
      <c r="C34" s="53"/>
      <c r="D34" s="23" t="s">
        <v>14</v>
      </c>
      <c r="E34" s="64"/>
      <c r="F34" s="23" t="s">
        <v>14</v>
      </c>
      <c r="G34" s="31"/>
      <c r="H34" s="23" t="s">
        <v>14</v>
      </c>
      <c r="I34" s="31"/>
      <c r="J34" s="53"/>
      <c r="K34" s="23" t="s">
        <v>14</v>
      </c>
      <c r="L34" s="31"/>
      <c r="M34" s="23" t="s">
        <v>14</v>
      </c>
      <c r="N34" s="31"/>
    </row>
    <row r="35" spans="1:14" hidden="1">
      <c r="A35" s="26" t="s">
        <v>15</v>
      </c>
      <c r="B35" s="31"/>
      <c r="C35" s="53"/>
      <c r="D35" s="26" t="s">
        <v>15</v>
      </c>
      <c r="E35" s="64"/>
      <c r="F35" s="26" t="s">
        <v>15</v>
      </c>
      <c r="G35" s="25"/>
      <c r="H35" s="26" t="s">
        <v>15</v>
      </c>
      <c r="I35" s="31"/>
      <c r="J35" s="53"/>
      <c r="K35" s="26" t="s">
        <v>15</v>
      </c>
      <c r="L35" s="25"/>
      <c r="M35" s="26" t="s">
        <v>15</v>
      </c>
      <c r="N35" s="25"/>
    </row>
    <row r="36" spans="1:14" hidden="1">
      <c r="A36" s="26" t="s">
        <v>15</v>
      </c>
      <c r="B36" s="31"/>
      <c r="C36" s="53"/>
      <c r="D36" s="26" t="s">
        <v>15</v>
      </c>
      <c r="E36" s="64"/>
      <c r="F36" s="26" t="s">
        <v>15</v>
      </c>
      <c r="G36" s="25"/>
      <c r="H36" s="26" t="s">
        <v>15</v>
      </c>
      <c r="I36" s="31"/>
      <c r="J36" s="53"/>
      <c r="K36" s="26" t="s">
        <v>15</v>
      </c>
      <c r="L36" s="25"/>
      <c r="M36" s="26" t="s">
        <v>15</v>
      </c>
      <c r="N36" s="25"/>
    </row>
    <row r="37" spans="1:14" hidden="1">
      <c r="A37" s="26" t="s">
        <v>15</v>
      </c>
      <c r="B37" s="31"/>
      <c r="C37" s="53"/>
      <c r="D37" s="26" t="s">
        <v>15</v>
      </c>
      <c r="E37" s="64"/>
      <c r="F37" s="26" t="s">
        <v>15</v>
      </c>
      <c r="G37" s="25"/>
      <c r="H37" s="26" t="s">
        <v>15</v>
      </c>
      <c r="I37" s="31"/>
      <c r="J37" s="53"/>
      <c r="K37" s="26" t="s">
        <v>15</v>
      </c>
      <c r="L37" s="25"/>
      <c r="M37" s="26" t="s">
        <v>15</v>
      </c>
      <c r="N37" s="25"/>
    </row>
    <row r="38" spans="1:14" hidden="1">
      <c r="A38" s="26" t="s">
        <v>15</v>
      </c>
      <c r="B38" s="31"/>
      <c r="C38" s="53"/>
      <c r="D38" s="26" t="s">
        <v>15</v>
      </c>
      <c r="E38" s="64"/>
      <c r="F38" s="26" t="s">
        <v>15</v>
      </c>
      <c r="G38" s="25"/>
      <c r="H38" s="26" t="s">
        <v>15</v>
      </c>
      <c r="I38" s="31"/>
      <c r="J38" s="53"/>
      <c r="K38" s="26" t="s">
        <v>15</v>
      </c>
      <c r="L38" s="25"/>
      <c r="M38" s="26" t="s">
        <v>15</v>
      </c>
      <c r="N38" s="25"/>
    </row>
    <row r="39" spans="1:14" hidden="1">
      <c r="A39" s="27" t="s">
        <v>16</v>
      </c>
      <c r="B39" s="101">
        <f>B34-B35-B38-B37-B36</f>
        <v>0</v>
      </c>
      <c r="C39" s="102"/>
      <c r="D39" s="27" t="s">
        <v>16</v>
      </c>
      <c r="E39" s="16">
        <f>E34-E35-E37-E38-E36</f>
        <v>0</v>
      </c>
      <c r="F39" s="27" t="s">
        <v>16</v>
      </c>
      <c r="G39" s="16">
        <f>G34-G35-G37-G38-G36</f>
        <v>0</v>
      </c>
      <c r="H39" s="27" t="s">
        <v>16</v>
      </c>
      <c r="I39" s="101">
        <f>I34-I35-I38-I37-I36</f>
        <v>0</v>
      </c>
      <c r="J39" s="102"/>
      <c r="K39" s="27" t="s">
        <v>16</v>
      </c>
      <c r="L39" s="16">
        <f>L34-L35-L37-L38-L36</f>
        <v>0</v>
      </c>
      <c r="M39" s="27" t="s">
        <v>16</v>
      </c>
      <c r="N39" s="16">
        <f>N34-N35-N37-N38-N36</f>
        <v>0</v>
      </c>
    </row>
    <row r="40" spans="1:14" hidden="1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</row>
    <row r="41" spans="1:14" hidden="1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</row>
    <row r="42" spans="1:14" ht="15.75" hidden="1">
      <c r="A42" s="98" t="s">
        <v>21</v>
      </c>
      <c r="B42" s="100"/>
      <c r="C42" s="99"/>
      <c r="D42" s="98" t="s">
        <v>22</v>
      </c>
      <c r="E42" s="99"/>
      <c r="F42" s="98" t="s">
        <v>23</v>
      </c>
      <c r="G42" s="99"/>
      <c r="H42" s="98" t="s">
        <v>24</v>
      </c>
      <c r="I42" s="100"/>
      <c r="J42" s="99"/>
      <c r="K42" s="98" t="s">
        <v>25</v>
      </c>
      <c r="L42" s="99"/>
      <c r="M42" s="98" t="s">
        <v>26</v>
      </c>
      <c r="N42" s="99"/>
    </row>
    <row r="43" spans="1:14" hidden="1">
      <c r="A43" s="23" t="s">
        <v>12</v>
      </c>
      <c r="B43" s="51"/>
      <c r="C43" s="52"/>
      <c r="D43" s="23" t="s">
        <v>12</v>
      </c>
      <c r="E43" s="24"/>
      <c r="F43" s="23" t="s">
        <v>12</v>
      </c>
      <c r="G43" s="24"/>
      <c r="H43" s="23" t="s">
        <v>12</v>
      </c>
      <c r="I43" s="51"/>
      <c r="J43" s="52"/>
      <c r="K43" s="23" t="s">
        <v>12</v>
      </c>
      <c r="L43" s="24"/>
      <c r="M43" s="23" t="s">
        <v>12</v>
      </c>
      <c r="N43" s="24"/>
    </row>
    <row r="44" spans="1:14" hidden="1">
      <c r="A44" s="23" t="s">
        <v>13</v>
      </c>
      <c r="B44" s="51"/>
      <c r="C44" s="52"/>
      <c r="D44" s="23" t="s">
        <v>13</v>
      </c>
      <c r="E44" s="24"/>
      <c r="F44" s="23" t="s">
        <v>13</v>
      </c>
      <c r="G44" s="24"/>
      <c r="H44" s="23" t="s">
        <v>13</v>
      </c>
      <c r="I44" s="51"/>
      <c r="J44" s="52"/>
      <c r="K44" s="23" t="s">
        <v>13</v>
      </c>
      <c r="L44" s="24"/>
      <c r="M44" s="23" t="s">
        <v>13</v>
      </c>
      <c r="N44" s="24"/>
    </row>
    <row r="45" spans="1:14" hidden="1">
      <c r="A45" s="23" t="s">
        <v>14</v>
      </c>
      <c r="B45" s="31"/>
      <c r="C45" s="53"/>
      <c r="D45" s="23" t="s">
        <v>14</v>
      </c>
      <c r="E45" s="31"/>
      <c r="F45" s="23" t="s">
        <v>14</v>
      </c>
      <c r="G45" s="31"/>
      <c r="H45" s="23" t="s">
        <v>14</v>
      </c>
      <c r="I45" s="31"/>
      <c r="J45" s="53"/>
      <c r="K45" s="23" t="s">
        <v>14</v>
      </c>
      <c r="L45" s="31"/>
      <c r="M45" s="23" t="s">
        <v>14</v>
      </c>
      <c r="N45" s="31"/>
    </row>
    <row r="46" spans="1:14" hidden="1">
      <c r="A46" s="26" t="s">
        <v>15</v>
      </c>
      <c r="B46" s="31"/>
      <c r="C46" s="53"/>
      <c r="D46" s="26" t="s">
        <v>15</v>
      </c>
      <c r="E46" s="25"/>
      <c r="F46" s="26" t="s">
        <v>15</v>
      </c>
      <c r="G46" s="25"/>
      <c r="H46" s="26" t="s">
        <v>15</v>
      </c>
      <c r="I46" s="31"/>
      <c r="J46" s="53"/>
      <c r="K46" s="26" t="s">
        <v>15</v>
      </c>
      <c r="L46" s="25"/>
      <c r="M46" s="26" t="s">
        <v>15</v>
      </c>
      <c r="N46" s="25"/>
    </row>
    <row r="47" spans="1:14" hidden="1">
      <c r="A47" s="26" t="s">
        <v>15</v>
      </c>
      <c r="B47" s="31"/>
      <c r="C47" s="53"/>
      <c r="D47" s="26" t="s">
        <v>15</v>
      </c>
      <c r="E47" s="25"/>
      <c r="F47" s="26" t="s">
        <v>15</v>
      </c>
      <c r="G47" s="25"/>
      <c r="H47" s="26" t="s">
        <v>15</v>
      </c>
      <c r="I47" s="31"/>
      <c r="J47" s="53"/>
      <c r="K47" s="26" t="s">
        <v>15</v>
      </c>
      <c r="L47" s="25"/>
      <c r="M47" s="26" t="s">
        <v>15</v>
      </c>
      <c r="N47" s="25"/>
    </row>
    <row r="48" spans="1:14" hidden="1">
      <c r="A48" s="26" t="s">
        <v>15</v>
      </c>
      <c r="B48" s="31"/>
      <c r="C48" s="53"/>
      <c r="D48" s="26" t="s">
        <v>15</v>
      </c>
      <c r="E48" s="25"/>
      <c r="F48" s="26" t="s">
        <v>15</v>
      </c>
      <c r="G48" s="25"/>
      <c r="H48" s="26" t="s">
        <v>15</v>
      </c>
      <c r="I48" s="31"/>
      <c r="J48" s="53"/>
      <c r="K48" s="26" t="s">
        <v>15</v>
      </c>
      <c r="L48" s="25"/>
      <c r="M48" s="26" t="s">
        <v>15</v>
      </c>
      <c r="N48" s="25"/>
    </row>
    <row r="49" spans="1:14" hidden="1">
      <c r="A49" s="26" t="s">
        <v>15</v>
      </c>
      <c r="B49" s="31"/>
      <c r="C49" s="53"/>
      <c r="D49" s="26" t="s">
        <v>15</v>
      </c>
      <c r="E49" s="25"/>
      <c r="F49" s="26" t="s">
        <v>15</v>
      </c>
      <c r="G49" s="25"/>
      <c r="H49" s="26" t="s">
        <v>15</v>
      </c>
      <c r="I49" s="31"/>
      <c r="J49" s="53"/>
      <c r="K49" s="26" t="s">
        <v>15</v>
      </c>
      <c r="L49" s="25"/>
      <c r="M49" s="26" t="s">
        <v>15</v>
      </c>
      <c r="N49" s="25"/>
    </row>
    <row r="50" spans="1:14" hidden="1">
      <c r="A50" s="27" t="s">
        <v>16</v>
      </c>
      <c r="B50" s="101">
        <f>B45-B46-B49-B48-B47</f>
        <v>0</v>
      </c>
      <c r="C50" s="102"/>
      <c r="D50" s="27" t="s">
        <v>16</v>
      </c>
      <c r="E50" s="16">
        <f>E45-E46-E48-E49-E47</f>
        <v>0</v>
      </c>
      <c r="F50" s="27" t="s">
        <v>16</v>
      </c>
      <c r="G50" s="16">
        <f>G45-G46-G48-G49-G47</f>
        <v>0</v>
      </c>
      <c r="H50" s="27" t="s">
        <v>16</v>
      </c>
      <c r="I50" s="101">
        <f>I45-I46-I49-I48-I47</f>
        <v>0</v>
      </c>
      <c r="J50" s="102"/>
      <c r="K50" s="27" t="s">
        <v>16</v>
      </c>
      <c r="L50" s="16">
        <f>L45-L46-L48-L49-L47</f>
        <v>0</v>
      </c>
      <c r="M50" s="27" t="s">
        <v>16</v>
      </c>
      <c r="N50" s="16">
        <f>N45-N46-N48-N49-N47</f>
        <v>0</v>
      </c>
    </row>
    <row r="51" spans="1:14" hidden="1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</row>
    <row r="52" spans="1:14" hidden="1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</row>
    <row r="53" spans="1:14" ht="15.75" hidden="1" thickBot="1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</row>
    <row r="54" spans="1:14" ht="15.75" thickBot="1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</row>
    <row r="55" spans="1:14">
      <c r="A55" s="11"/>
      <c r="B55" s="11"/>
      <c r="C55" s="11"/>
      <c r="D55" s="11"/>
      <c r="E55" s="11"/>
      <c r="F55" s="108" t="s">
        <v>20</v>
      </c>
      <c r="G55" s="109"/>
      <c r="H55" s="112">
        <f>Q7+Q10</f>
        <v>0</v>
      </c>
      <c r="I55" s="113"/>
      <c r="J55" s="11"/>
      <c r="K55" s="11"/>
      <c r="L55" s="11"/>
      <c r="M55" s="11"/>
      <c r="N55" s="11"/>
    </row>
    <row r="56" spans="1:14" ht="12" customHeight="1" thickBot="1">
      <c r="A56" s="11"/>
      <c r="B56" s="11"/>
      <c r="C56" s="11"/>
      <c r="D56" s="11"/>
      <c r="E56" s="11"/>
      <c r="F56" s="110"/>
      <c r="G56" s="111"/>
      <c r="H56" s="114"/>
      <c r="I56" s="115"/>
      <c r="J56" s="11"/>
      <c r="K56" s="11"/>
      <c r="L56" s="11"/>
      <c r="M56" s="11"/>
      <c r="N56" s="11"/>
    </row>
    <row r="57" spans="1:14">
      <c r="A57" s="11"/>
      <c r="B57" s="11"/>
      <c r="C57" s="11"/>
      <c r="D57" s="11"/>
      <c r="E57" s="11"/>
      <c r="F57" s="116" t="s">
        <v>0</v>
      </c>
      <c r="G57" s="117"/>
      <c r="H57" s="120">
        <f>IF(B5="12 Month",H55/12,IF(B5="24 Month",H55/24,0))</f>
        <v>0</v>
      </c>
      <c r="I57" s="121"/>
      <c r="J57" s="11"/>
      <c r="K57" s="11"/>
      <c r="L57" s="11"/>
      <c r="M57" s="11"/>
      <c r="N57" s="11"/>
    </row>
    <row r="58" spans="1:14" ht="18" customHeight="1" thickBot="1">
      <c r="A58" s="11"/>
      <c r="B58" s="11"/>
      <c r="C58" s="11"/>
      <c r="D58" s="11"/>
      <c r="E58" s="11"/>
      <c r="F58" s="118"/>
      <c r="G58" s="119"/>
      <c r="H58" s="122"/>
      <c r="I58" s="123"/>
      <c r="J58" s="11"/>
      <c r="K58" s="11"/>
      <c r="L58" s="11"/>
      <c r="M58" s="11"/>
      <c r="N58" s="11"/>
    </row>
    <row r="59" spans="1:14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</row>
    <row r="60" spans="1:14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</row>
    <row r="66" spans="7:10" hidden="1">
      <c r="G66" s="103"/>
      <c r="H66" s="103"/>
      <c r="I66" s="104"/>
      <c r="J66" s="104"/>
    </row>
    <row r="67" spans="7:10" hidden="1">
      <c r="G67" s="103"/>
      <c r="H67" s="103"/>
      <c r="I67" s="104"/>
      <c r="J67" s="104"/>
    </row>
    <row r="68" spans="7:10" hidden="1">
      <c r="G68" s="105"/>
      <c r="H68" s="105"/>
      <c r="I68" s="106"/>
      <c r="J68" s="107"/>
    </row>
    <row r="69" spans="7:10" hidden="1">
      <c r="G69" s="105"/>
      <c r="H69" s="105"/>
      <c r="I69" s="107"/>
      <c r="J69" s="107"/>
    </row>
  </sheetData>
  <sheetProtection sheet="1" scenarios="1" formatRows="0" selectLockedCells="1"/>
  <mergeCells count="46">
    <mergeCell ref="E29:K29"/>
    <mergeCell ref="B50:C50"/>
    <mergeCell ref="I50:J50"/>
    <mergeCell ref="K42:L42"/>
    <mergeCell ref="K31:L31"/>
    <mergeCell ref="B39:C39"/>
    <mergeCell ref="M31:N31"/>
    <mergeCell ref="M42:N42"/>
    <mergeCell ref="F55:G56"/>
    <mergeCell ref="H55:I56"/>
    <mergeCell ref="F57:G58"/>
    <mergeCell ref="H57:I58"/>
    <mergeCell ref="G66:H67"/>
    <mergeCell ref="I66:J67"/>
    <mergeCell ref="G68:H69"/>
    <mergeCell ref="I68:J69"/>
    <mergeCell ref="A31:C31"/>
    <mergeCell ref="D31:E31"/>
    <mergeCell ref="F31:G31"/>
    <mergeCell ref="H31:J31"/>
    <mergeCell ref="I39:J39"/>
    <mergeCell ref="A42:C42"/>
    <mergeCell ref="D42:E42"/>
    <mergeCell ref="F42:G42"/>
    <mergeCell ref="H42:J42"/>
    <mergeCell ref="B25:C25"/>
    <mergeCell ref="I25:J25"/>
    <mergeCell ref="K17:L17"/>
    <mergeCell ref="M17:N17"/>
    <mergeCell ref="B14:C14"/>
    <mergeCell ref="I14:J14"/>
    <mergeCell ref="A17:C17"/>
    <mergeCell ref="D17:E17"/>
    <mergeCell ref="F17:G17"/>
    <mergeCell ref="H17:J17"/>
    <mergeCell ref="M6:N6"/>
    <mergeCell ref="K6:L6"/>
    <mergeCell ref="A6:C6"/>
    <mergeCell ref="D6:E6"/>
    <mergeCell ref="F6:G6"/>
    <mergeCell ref="H6:J6"/>
    <mergeCell ref="B3:D3"/>
    <mergeCell ref="B4:D4"/>
    <mergeCell ref="E2:K2"/>
    <mergeCell ref="B5:D5"/>
    <mergeCell ref="B2:D2"/>
  </mergeCell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12</xdr:col>
                    <xdr:colOff>200025</xdr:colOff>
                    <xdr:row>1</xdr:row>
                    <xdr:rowOff>133350</xdr:rowOff>
                  </from>
                  <to>
                    <xdr:col>13</xdr:col>
                    <xdr:colOff>533400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Lists!$A$2:$A$4</xm:f>
          </x14:formula1>
          <xm:sqref>B5:D5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64"/>
  <sheetViews>
    <sheetView showGridLines="0" tabSelected="1" zoomScaleNormal="100" workbookViewId="0">
      <selection activeCell="N22" sqref="N22"/>
    </sheetView>
  </sheetViews>
  <sheetFormatPr defaultColWidth="0" defaultRowHeight="15" zeroHeight="1"/>
  <cols>
    <col min="1" max="1" width="31.85546875" customWidth="1"/>
    <col min="2" max="2" width="17.85546875" customWidth="1"/>
    <col min="3" max="3" width="12" hidden="1" customWidth="1"/>
    <col min="4" max="4" width="24.140625" customWidth="1"/>
    <col min="5" max="5" width="17.85546875" customWidth="1"/>
    <col min="6" max="6" width="23.42578125" customWidth="1"/>
    <col min="7" max="7" width="18.5703125" customWidth="1"/>
    <col min="8" max="8" width="22.7109375" customWidth="1"/>
    <col min="9" max="9" width="17.85546875" customWidth="1"/>
    <col min="10" max="10" width="0" hidden="1" customWidth="1"/>
    <col min="11" max="11" width="23" customWidth="1"/>
    <col min="12" max="12" width="18.140625" customWidth="1"/>
    <col min="13" max="13" width="24.28515625" customWidth="1"/>
    <col min="14" max="14" width="16.85546875" customWidth="1"/>
    <col min="15" max="15" width="9.140625" customWidth="1"/>
    <col min="16" max="17" width="0" hidden="1" customWidth="1"/>
    <col min="18" max="16384" width="9.140625" hidden="1"/>
  </cols>
  <sheetData>
    <row r="1" spans="1:17"/>
    <row r="2" spans="1:17" ht="22.5" customHeight="1">
      <c r="A2" s="18" t="s">
        <v>27</v>
      </c>
      <c r="B2" s="97" t="s">
        <v>141</v>
      </c>
      <c r="C2" s="97"/>
      <c r="D2" s="97"/>
      <c r="E2" s="128" t="s">
        <v>30</v>
      </c>
      <c r="F2" s="128"/>
      <c r="G2" s="128"/>
      <c r="H2" s="128"/>
      <c r="I2" s="128"/>
      <c r="J2" s="128"/>
      <c r="K2" s="128"/>
      <c r="L2" s="11"/>
      <c r="M2" s="11"/>
      <c r="N2" s="11"/>
    </row>
    <row r="3" spans="1:17" ht="18">
      <c r="A3" s="18" t="s">
        <v>28</v>
      </c>
      <c r="B3" s="125">
        <v>1</v>
      </c>
      <c r="C3" s="125"/>
      <c r="D3" s="125"/>
      <c r="E3" s="11"/>
      <c r="F3" s="11"/>
      <c r="G3" s="11"/>
      <c r="H3" s="11"/>
      <c r="I3" s="11"/>
      <c r="J3" s="11"/>
      <c r="K3" s="11"/>
      <c r="L3" s="11"/>
      <c r="M3" s="11"/>
      <c r="N3" s="11"/>
    </row>
    <row r="4" spans="1:17" ht="18">
      <c r="A4" s="18" t="s">
        <v>42</v>
      </c>
      <c r="B4" s="91" t="s">
        <v>142</v>
      </c>
      <c r="C4" s="91"/>
      <c r="D4" s="91"/>
      <c r="E4" s="19"/>
      <c r="F4" s="20"/>
      <c r="G4" s="11"/>
      <c r="H4" s="11"/>
      <c r="I4" s="11"/>
      <c r="J4" s="11"/>
      <c r="K4" s="11"/>
      <c r="L4" s="11"/>
      <c r="M4" s="11"/>
      <c r="N4" s="11"/>
    </row>
    <row r="5" spans="1:17" ht="18">
      <c r="A5" s="21" t="s">
        <v>31</v>
      </c>
      <c r="B5" s="94" t="s">
        <v>33</v>
      </c>
      <c r="C5" s="95"/>
      <c r="D5" s="96"/>
      <c r="E5" s="19"/>
      <c r="F5" s="20"/>
      <c r="G5" s="11"/>
      <c r="H5" s="11"/>
      <c r="I5" s="22"/>
      <c r="J5" s="22"/>
      <c r="K5" s="11"/>
      <c r="L5" s="11"/>
      <c r="M5" s="11"/>
      <c r="N5" s="11"/>
    </row>
    <row r="6" spans="1:17" ht="15.75">
      <c r="A6" s="98" t="s">
        <v>9</v>
      </c>
      <c r="B6" s="100"/>
      <c r="C6" s="99"/>
      <c r="D6" s="98" t="s">
        <v>10</v>
      </c>
      <c r="E6" s="99"/>
      <c r="F6" s="98" t="s">
        <v>11</v>
      </c>
      <c r="G6" s="99"/>
      <c r="H6" s="98" t="s">
        <v>17</v>
      </c>
      <c r="I6" s="126"/>
      <c r="J6" s="127"/>
      <c r="K6" s="98" t="s">
        <v>18</v>
      </c>
      <c r="L6" s="99"/>
      <c r="M6" s="98" t="s">
        <v>19</v>
      </c>
      <c r="N6" s="99"/>
    </row>
    <row r="7" spans="1:17">
      <c r="A7" s="23" t="s">
        <v>12</v>
      </c>
      <c r="B7" s="51">
        <v>44971</v>
      </c>
      <c r="C7" s="52"/>
      <c r="D7" s="23" t="s">
        <v>12</v>
      </c>
      <c r="E7" s="51">
        <v>44999</v>
      </c>
      <c r="F7" s="23" t="s">
        <v>12</v>
      </c>
      <c r="G7" s="51">
        <v>45030</v>
      </c>
      <c r="H7" s="23" t="s">
        <v>12</v>
      </c>
      <c r="I7" s="51">
        <v>45091</v>
      </c>
      <c r="J7" s="52"/>
      <c r="K7" s="23" t="s">
        <v>12</v>
      </c>
      <c r="L7" s="51">
        <v>45122</v>
      </c>
      <c r="M7" s="23" t="s">
        <v>12</v>
      </c>
      <c r="N7" s="51">
        <v>45150</v>
      </c>
      <c r="Q7" t="s">
        <v>38</v>
      </c>
    </row>
    <row r="8" spans="1:17">
      <c r="A8" s="23" t="s">
        <v>13</v>
      </c>
      <c r="B8" s="51">
        <v>44998</v>
      </c>
      <c r="C8" s="52"/>
      <c r="D8" s="23" t="s">
        <v>13</v>
      </c>
      <c r="E8" s="51">
        <v>45029</v>
      </c>
      <c r="F8" s="23" t="s">
        <v>13</v>
      </c>
      <c r="G8" s="51">
        <v>45057</v>
      </c>
      <c r="H8" s="23" t="s">
        <v>13</v>
      </c>
      <c r="I8" s="51">
        <v>45121</v>
      </c>
      <c r="J8" s="52"/>
      <c r="K8" s="23" t="s">
        <v>13</v>
      </c>
      <c r="L8" s="51">
        <v>45149</v>
      </c>
      <c r="M8" s="23" t="s">
        <v>13</v>
      </c>
      <c r="N8" s="51">
        <v>45183</v>
      </c>
      <c r="Q8" s="8">
        <f>SUM(B14,E14,G14,I14,L14,N14,N25,L25,I25,G25,E25,B25)</f>
        <v>35333.230000000003</v>
      </c>
    </row>
    <row r="9" spans="1:17">
      <c r="A9" s="23" t="s">
        <v>14</v>
      </c>
      <c r="B9" s="31">
        <v>5805.35</v>
      </c>
      <c r="C9" s="53"/>
      <c r="D9" s="23" t="s">
        <v>14</v>
      </c>
      <c r="E9" s="31">
        <v>7310.01</v>
      </c>
      <c r="F9" s="23" t="s">
        <v>14</v>
      </c>
      <c r="G9" s="31">
        <v>5786.01</v>
      </c>
      <c r="H9" s="23" t="s">
        <v>14</v>
      </c>
      <c r="I9" s="31">
        <v>9430.01</v>
      </c>
      <c r="J9" s="53"/>
      <c r="K9" s="23" t="s">
        <v>14</v>
      </c>
      <c r="L9" s="31">
        <v>5554.26</v>
      </c>
      <c r="M9" s="23" t="s">
        <v>14</v>
      </c>
      <c r="N9" s="31">
        <v>5827.52</v>
      </c>
      <c r="Q9" t="s">
        <v>39</v>
      </c>
    </row>
    <row r="10" spans="1:17">
      <c r="A10" s="26" t="s">
        <v>15</v>
      </c>
      <c r="B10" s="31">
        <v>2902.67</v>
      </c>
      <c r="C10" s="53"/>
      <c r="D10" s="26" t="s">
        <v>15</v>
      </c>
      <c r="E10" s="31">
        <v>3655</v>
      </c>
      <c r="F10" s="26" t="s">
        <v>15</v>
      </c>
      <c r="G10" s="31">
        <v>2893</v>
      </c>
      <c r="H10" s="26" t="s">
        <v>15</v>
      </c>
      <c r="I10" s="31">
        <v>4715</v>
      </c>
      <c r="J10" s="53"/>
      <c r="K10" s="26" t="s">
        <v>15</v>
      </c>
      <c r="L10" s="31">
        <v>2777</v>
      </c>
      <c r="M10" s="26" t="s">
        <v>15</v>
      </c>
      <c r="N10" s="31">
        <v>2913</v>
      </c>
      <c r="Q10" s="8">
        <f>SUM(B42,E42,G42,I42,L42,N42,N53,L53,I53,G53,E53,B53)</f>
        <v>0</v>
      </c>
    </row>
    <row r="11" spans="1:17">
      <c r="A11" s="26" t="s">
        <v>15</v>
      </c>
      <c r="B11" s="31"/>
      <c r="C11" s="53"/>
      <c r="D11" s="26" t="s">
        <v>15</v>
      </c>
      <c r="E11" s="31"/>
      <c r="F11" s="26" t="s">
        <v>15</v>
      </c>
      <c r="G11" s="31"/>
      <c r="H11" s="26" t="s">
        <v>15</v>
      </c>
      <c r="I11" s="31"/>
      <c r="J11" s="53"/>
      <c r="K11" s="26" t="s">
        <v>15</v>
      </c>
      <c r="L11" s="31"/>
      <c r="M11" s="26" t="s">
        <v>15</v>
      </c>
      <c r="N11" s="31"/>
    </row>
    <row r="12" spans="1:17">
      <c r="A12" s="26" t="s">
        <v>15</v>
      </c>
      <c r="B12" s="31"/>
      <c r="C12" s="53"/>
      <c r="D12" s="26" t="s">
        <v>15</v>
      </c>
      <c r="E12" s="31"/>
      <c r="F12" s="26" t="s">
        <v>15</v>
      </c>
      <c r="G12" s="31"/>
      <c r="H12" s="26" t="s">
        <v>15</v>
      </c>
      <c r="I12" s="31"/>
      <c r="J12" s="53"/>
      <c r="K12" s="26" t="s">
        <v>15</v>
      </c>
      <c r="L12" s="31"/>
      <c r="M12" s="26" t="s">
        <v>15</v>
      </c>
      <c r="N12" s="31"/>
    </row>
    <row r="13" spans="1:17">
      <c r="A13" s="26" t="s">
        <v>15</v>
      </c>
      <c r="B13" s="31"/>
      <c r="C13" s="53"/>
      <c r="D13" s="26" t="s">
        <v>15</v>
      </c>
      <c r="E13" s="31"/>
      <c r="F13" s="26" t="s">
        <v>15</v>
      </c>
      <c r="G13" s="31"/>
      <c r="H13" s="26" t="s">
        <v>15</v>
      </c>
      <c r="I13" s="31"/>
      <c r="J13" s="53"/>
      <c r="K13" s="26" t="s">
        <v>15</v>
      </c>
      <c r="L13" s="31"/>
      <c r="M13" s="26" t="s">
        <v>15</v>
      </c>
      <c r="N13" s="31"/>
    </row>
    <row r="14" spans="1:17">
      <c r="A14" s="27" t="s">
        <v>16</v>
      </c>
      <c r="B14" s="101">
        <f>B9-B10-B13-B12-B11</f>
        <v>2902.6800000000003</v>
      </c>
      <c r="C14" s="102"/>
      <c r="D14" s="27" t="s">
        <v>16</v>
      </c>
      <c r="E14" s="16">
        <f>E9-E10-E12-E13-E11</f>
        <v>3655.01</v>
      </c>
      <c r="F14" s="27" t="s">
        <v>16</v>
      </c>
      <c r="G14" s="16">
        <f>G9-G10-G12-G13-G11</f>
        <v>2893.01</v>
      </c>
      <c r="H14" s="27" t="s">
        <v>16</v>
      </c>
      <c r="I14" s="101">
        <f>I9-I10-I13-I12-I11</f>
        <v>4715.01</v>
      </c>
      <c r="J14" s="102"/>
      <c r="K14" s="27" t="s">
        <v>16</v>
      </c>
      <c r="L14" s="16">
        <f>L9-L10-L12-L13-L11</f>
        <v>2777.26</v>
      </c>
      <c r="M14" s="27" t="s">
        <v>16</v>
      </c>
      <c r="N14" s="16">
        <f>N9-N10-N12-N13-N11</f>
        <v>2914.5200000000004</v>
      </c>
    </row>
    <row r="15" spans="1:17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</row>
    <row r="16" spans="1:17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</row>
    <row r="17" spans="1:14" ht="15.75">
      <c r="A17" s="98" t="s">
        <v>21</v>
      </c>
      <c r="B17" s="100"/>
      <c r="C17" s="99"/>
      <c r="D17" s="98" t="s">
        <v>22</v>
      </c>
      <c r="E17" s="99"/>
      <c r="F17" s="98" t="s">
        <v>23</v>
      </c>
      <c r="G17" s="99"/>
      <c r="H17" s="98" t="s">
        <v>24</v>
      </c>
      <c r="I17" s="100"/>
      <c r="J17" s="99"/>
      <c r="K17" s="98" t="s">
        <v>25</v>
      </c>
      <c r="L17" s="99"/>
      <c r="M17" s="98" t="s">
        <v>26</v>
      </c>
      <c r="N17" s="99"/>
    </row>
    <row r="18" spans="1:14">
      <c r="A18" s="23" t="s">
        <v>12</v>
      </c>
      <c r="B18" s="51">
        <v>45184</v>
      </c>
      <c r="C18" s="52"/>
      <c r="D18" s="23" t="s">
        <v>12</v>
      </c>
      <c r="E18" s="51">
        <v>45213</v>
      </c>
      <c r="F18" s="23" t="s">
        <v>12</v>
      </c>
      <c r="G18" s="51">
        <v>45244</v>
      </c>
      <c r="H18" s="23" t="s">
        <v>12</v>
      </c>
      <c r="I18" s="51">
        <v>45274</v>
      </c>
      <c r="J18" s="52"/>
      <c r="K18" s="23" t="s">
        <v>12</v>
      </c>
      <c r="L18" s="51">
        <v>45304</v>
      </c>
      <c r="M18" s="23" t="s">
        <v>12</v>
      </c>
      <c r="N18" s="51">
        <v>45336</v>
      </c>
    </row>
    <row r="19" spans="1:14">
      <c r="A19" s="23" t="s">
        <v>13</v>
      </c>
      <c r="B19" s="51">
        <v>45212</v>
      </c>
      <c r="C19" s="52"/>
      <c r="D19" s="23" t="s">
        <v>13</v>
      </c>
      <c r="E19" s="51">
        <v>45243</v>
      </c>
      <c r="F19" s="23" t="s">
        <v>13</v>
      </c>
      <c r="G19" s="51">
        <v>45273</v>
      </c>
      <c r="H19" s="23" t="s">
        <v>13</v>
      </c>
      <c r="I19" s="51">
        <v>45303</v>
      </c>
      <c r="J19" s="52"/>
      <c r="K19" s="23" t="s">
        <v>13</v>
      </c>
      <c r="L19" s="51">
        <v>45335</v>
      </c>
      <c r="M19" s="23" t="s">
        <v>13</v>
      </c>
      <c r="N19" s="51">
        <v>45364</v>
      </c>
    </row>
    <row r="20" spans="1:14">
      <c r="A20" s="23" t="s">
        <v>14</v>
      </c>
      <c r="B20" s="31">
        <v>6185.16</v>
      </c>
      <c r="C20" s="53"/>
      <c r="D20" s="23" t="s">
        <v>14</v>
      </c>
      <c r="E20" s="31">
        <v>1897.51</v>
      </c>
      <c r="F20" s="23" t="s">
        <v>14</v>
      </c>
      <c r="G20" s="31">
        <v>5564.01</v>
      </c>
      <c r="H20" s="23" t="s">
        <v>14</v>
      </c>
      <c r="I20" s="31">
        <v>6486.52</v>
      </c>
      <c r="J20" s="53"/>
      <c r="K20" s="23" t="s">
        <v>14</v>
      </c>
      <c r="L20" s="31">
        <v>5508.02</v>
      </c>
      <c r="M20" s="23" t="s">
        <v>14</v>
      </c>
      <c r="N20" s="31">
        <v>5308.02</v>
      </c>
    </row>
    <row r="21" spans="1:14">
      <c r="A21" s="26" t="s">
        <v>15</v>
      </c>
      <c r="B21" s="31">
        <v>3092</v>
      </c>
      <c r="C21" s="53"/>
      <c r="D21" s="26" t="s">
        <v>15</v>
      </c>
      <c r="E21" s="31">
        <v>948.5</v>
      </c>
      <c r="F21" s="26" t="s">
        <v>15</v>
      </c>
      <c r="G21" s="31">
        <v>2782</v>
      </c>
      <c r="H21" s="26" t="s">
        <v>15</v>
      </c>
      <c r="I21" s="31">
        <v>3243</v>
      </c>
      <c r="J21" s="53"/>
      <c r="K21" s="26" t="s">
        <v>15</v>
      </c>
      <c r="L21" s="31">
        <v>2754</v>
      </c>
      <c r="M21" s="26" t="s">
        <v>15</v>
      </c>
      <c r="N21" s="31">
        <v>2654</v>
      </c>
    </row>
    <row r="22" spans="1:14">
      <c r="A22" s="26" t="s">
        <v>15</v>
      </c>
      <c r="B22" s="31"/>
      <c r="C22" s="53"/>
      <c r="D22" s="26" t="s">
        <v>15</v>
      </c>
      <c r="E22" s="31"/>
      <c r="F22" s="26" t="s">
        <v>15</v>
      </c>
      <c r="G22" s="31"/>
      <c r="H22" s="26" t="s">
        <v>15</v>
      </c>
      <c r="I22" s="31"/>
      <c r="J22" s="53"/>
      <c r="K22" s="26" t="s">
        <v>15</v>
      </c>
      <c r="L22" s="31"/>
      <c r="M22" s="26" t="s">
        <v>15</v>
      </c>
      <c r="N22" s="31"/>
    </row>
    <row r="23" spans="1:14">
      <c r="A23" s="26" t="s">
        <v>15</v>
      </c>
      <c r="B23" s="31"/>
      <c r="C23" s="53"/>
      <c r="D23" s="26" t="s">
        <v>15</v>
      </c>
      <c r="E23" s="31"/>
      <c r="F23" s="26" t="s">
        <v>15</v>
      </c>
      <c r="G23" s="31"/>
      <c r="H23" s="26" t="s">
        <v>15</v>
      </c>
      <c r="I23" s="31"/>
      <c r="J23" s="53"/>
      <c r="K23" s="26" t="s">
        <v>15</v>
      </c>
      <c r="L23" s="31"/>
      <c r="M23" s="26" t="s">
        <v>15</v>
      </c>
      <c r="N23" s="31"/>
    </row>
    <row r="24" spans="1:14">
      <c r="A24" s="26" t="s">
        <v>15</v>
      </c>
      <c r="B24" s="31"/>
      <c r="C24" s="53"/>
      <c r="D24" s="26" t="s">
        <v>15</v>
      </c>
      <c r="E24" s="31"/>
      <c r="F24" s="26" t="s">
        <v>15</v>
      </c>
      <c r="G24" s="31"/>
      <c r="H24" s="26" t="s">
        <v>15</v>
      </c>
      <c r="I24" s="31"/>
      <c r="J24" s="53"/>
      <c r="K24" s="26" t="s">
        <v>15</v>
      </c>
      <c r="L24" s="31"/>
      <c r="M24" s="26" t="s">
        <v>15</v>
      </c>
      <c r="N24" s="31"/>
    </row>
    <row r="25" spans="1:14">
      <c r="A25" s="27" t="s">
        <v>16</v>
      </c>
      <c r="B25" s="101">
        <f>B20-B21-B24-B23-B22</f>
        <v>3093.16</v>
      </c>
      <c r="C25" s="102"/>
      <c r="D25" s="27" t="s">
        <v>16</v>
      </c>
      <c r="E25" s="16">
        <f>E20-E21-E23-E24-E22</f>
        <v>949.01</v>
      </c>
      <c r="F25" s="27" t="s">
        <v>16</v>
      </c>
      <c r="G25" s="16">
        <f>G20-G21-G23-G24-G22</f>
        <v>2782.01</v>
      </c>
      <c r="H25" s="27" t="s">
        <v>16</v>
      </c>
      <c r="I25" s="101">
        <f>I20-I21-I24-I23-I22</f>
        <v>3243.5200000000004</v>
      </c>
      <c r="J25" s="102"/>
      <c r="K25" s="27" t="s">
        <v>16</v>
      </c>
      <c r="L25" s="16">
        <f>L20-L21-L23-L24-L22</f>
        <v>2754.0200000000004</v>
      </c>
      <c r="M25" s="27" t="s">
        <v>16</v>
      </c>
      <c r="N25" s="16">
        <f>N20-N21-N23-N24-N22</f>
        <v>2654.0200000000004</v>
      </c>
    </row>
    <row r="26" spans="1:14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</row>
    <row r="27" spans="1:14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</row>
    <row r="28" spans="1:14" hidden="1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</row>
    <row r="29" spans="1:14" hidden="1">
      <c r="A29" s="11"/>
      <c r="B29" s="11"/>
      <c r="C29" s="11"/>
      <c r="D29" s="11"/>
      <c r="E29" s="129" t="s">
        <v>35</v>
      </c>
      <c r="F29" s="129"/>
      <c r="G29" s="129"/>
      <c r="H29" s="129"/>
      <c r="I29" s="129"/>
      <c r="J29" s="129"/>
      <c r="K29" s="129"/>
      <c r="L29" s="11"/>
      <c r="M29" s="11"/>
      <c r="N29" s="11"/>
    </row>
    <row r="30" spans="1:14" ht="18.600000000000001" hidden="1" customHeight="1">
      <c r="A30" s="11"/>
      <c r="B30" s="11"/>
      <c r="C30" s="11"/>
      <c r="D30" s="28"/>
      <c r="E30" s="129"/>
      <c r="F30" s="129"/>
      <c r="G30" s="129"/>
      <c r="H30" s="129"/>
      <c r="I30" s="129"/>
      <c r="J30" s="129"/>
      <c r="K30" s="129"/>
      <c r="L30" s="11"/>
      <c r="M30" s="11"/>
      <c r="N30" s="11"/>
    </row>
    <row r="31" spans="1:14" ht="15" hidden="1" customHeight="1">
      <c r="A31" s="11"/>
      <c r="B31" s="11"/>
      <c r="C31" s="11"/>
      <c r="D31" s="28"/>
      <c r="E31" s="28"/>
      <c r="F31" s="29"/>
      <c r="G31" s="29"/>
      <c r="H31" s="30"/>
      <c r="I31" s="11"/>
      <c r="J31" s="11"/>
      <c r="K31" s="11"/>
      <c r="L31" s="11"/>
      <c r="M31" s="11"/>
      <c r="N31" s="11"/>
    </row>
    <row r="32" spans="1:14" hidden="1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</row>
    <row r="33" spans="1:14" hidden="1">
      <c r="A33" s="11"/>
      <c r="B33" s="11"/>
      <c r="C33" s="11"/>
      <c r="D33" s="11"/>
      <c r="E33" s="11"/>
      <c r="F33" s="11"/>
      <c r="G33" s="11"/>
      <c r="H33" s="11"/>
      <c r="I33" s="22"/>
      <c r="J33" s="22"/>
      <c r="K33" s="11"/>
      <c r="L33" s="11"/>
      <c r="M33" s="11"/>
      <c r="N33" s="11"/>
    </row>
    <row r="34" spans="1:14" ht="15.75" hidden="1">
      <c r="A34" s="98" t="s">
        <v>9</v>
      </c>
      <c r="B34" s="100"/>
      <c r="C34" s="99"/>
      <c r="D34" s="98" t="s">
        <v>10</v>
      </c>
      <c r="E34" s="99"/>
      <c r="F34" s="98" t="s">
        <v>11</v>
      </c>
      <c r="G34" s="99"/>
      <c r="H34" s="98" t="s">
        <v>17</v>
      </c>
      <c r="I34" s="126"/>
      <c r="J34" s="127"/>
      <c r="K34" s="98" t="s">
        <v>18</v>
      </c>
      <c r="L34" s="99"/>
      <c r="M34" s="98" t="s">
        <v>19</v>
      </c>
      <c r="N34" s="99"/>
    </row>
    <row r="35" spans="1:14" hidden="1">
      <c r="A35" s="23" t="s">
        <v>12</v>
      </c>
      <c r="B35" s="51"/>
      <c r="C35" s="52"/>
      <c r="D35" s="23" t="s">
        <v>12</v>
      </c>
      <c r="E35" s="51"/>
      <c r="F35" s="23" t="s">
        <v>12</v>
      </c>
      <c r="G35" s="51"/>
      <c r="H35" s="23" t="s">
        <v>12</v>
      </c>
      <c r="I35" s="51"/>
      <c r="J35" s="52"/>
      <c r="K35" s="23" t="s">
        <v>12</v>
      </c>
      <c r="L35" s="51"/>
      <c r="M35" s="23" t="s">
        <v>12</v>
      </c>
      <c r="N35" s="51"/>
    </row>
    <row r="36" spans="1:14" hidden="1">
      <c r="A36" s="23" t="s">
        <v>13</v>
      </c>
      <c r="B36" s="51"/>
      <c r="C36" s="52"/>
      <c r="D36" s="23" t="s">
        <v>13</v>
      </c>
      <c r="E36" s="51"/>
      <c r="F36" s="23" t="s">
        <v>13</v>
      </c>
      <c r="G36" s="51"/>
      <c r="H36" s="23" t="s">
        <v>13</v>
      </c>
      <c r="I36" s="51"/>
      <c r="J36" s="52"/>
      <c r="K36" s="23" t="s">
        <v>13</v>
      </c>
      <c r="L36" s="51"/>
      <c r="M36" s="23" t="s">
        <v>13</v>
      </c>
      <c r="N36" s="51"/>
    </row>
    <row r="37" spans="1:14" hidden="1">
      <c r="A37" s="23" t="s">
        <v>14</v>
      </c>
      <c r="B37" s="31"/>
      <c r="C37" s="53"/>
      <c r="D37" s="23" t="s">
        <v>14</v>
      </c>
      <c r="E37" s="31"/>
      <c r="F37" s="23" t="s">
        <v>14</v>
      </c>
      <c r="G37" s="31"/>
      <c r="H37" s="23" t="s">
        <v>14</v>
      </c>
      <c r="I37" s="31"/>
      <c r="J37" s="53"/>
      <c r="K37" s="23" t="s">
        <v>14</v>
      </c>
      <c r="L37" s="31"/>
      <c r="M37" s="23" t="s">
        <v>14</v>
      </c>
      <c r="N37" s="31"/>
    </row>
    <row r="38" spans="1:14" hidden="1">
      <c r="A38" s="26" t="s">
        <v>15</v>
      </c>
      <c r="B38" s="31"/>
      <c r="C38" s="53"/>
      <c r="D38" s="26" t="s">
        <v>15</v>
      </c>
      <c r="E38" s="31"/>
      <c r="F38" s="26" t="s">
        <v>15</v>
      </c>
      <c r="G38" s="31"/>
      <c r="H38" s="26" t="s">
        <v>15</v>
      </c>
      <c r="I38" s="31"/>
      <c r="J38" s="53"/>
      <c r="K38" s="26" t="s">
        <v>15</v>
      </c>
      <c r="L38" s="31"/>
      <c r="M38" s="26" t="s">
        <v>15</v>
      </c>
      <c r="N38" s="31"/>
    </row>
    <row r="39" spans="1:14" hidden="1">
      <c r="A39" s="26" t="s">
        <v>15</v>
      </c>
      <c r="B39" s="31"/>
      <c r="C39" s="53"/>
      <c r="D39" s="26" t="s">
        <v>15</v>
      </c>
      <c r="E39" s="31"/>
      <c r="F39" s="26" t="s">
        <v>15</v>
      </c>
      <c r="G39" s="31"/>
      <c r="H39" s="26" t="s">
        <v>15</v>
      </c>
      <c r="I39" s="31"/>
      <c r="J39" s="53"/>
      <c r="K39" s="26" t="s">
        <v>15</v>
      </c>
      <c r="L39" s="31"/>
      <c r="M39" s="26" t="s">
        <v>15</v>
      </c>
      <c r="N39" s="31"/>
    </row>
    <row r="40" spans="1:14" hidden="1">
      <c r="A40" s="26" t="s">
        <v>15</v>
      </c>
      <c r="B40" s="31"/>
      <c r="C40" s="53"/>
      <c r="D40" s="26" t="s">
        <v>15</v>
      </c>
      <c r="E40" s="31"/>
      <c r="F40" s="26" t="s">
        <v>15</v>
      </c>
      <c r="G40" s="31"/>
      <c r="H40" s="26" t="s">
        <v>15</v>
      </c>
      <c r="I40" s="31"/>
      <c r="J40" s="53"/>
      <c r="K40" s="26" t="s">
        <v>15</v>
      </c>
      <c r="L40" s="31"/>
      <c r="M40" s="26" t="s">
        <v>15</v>
      </c>
      <c r="N40" s="31"/>
    </row>
    <row r="41" spans="1:14" hidden="1">
      <c r="A41" s="26" t="s">
        <v>15</v>
      </c>
      <c r="B41" s="31"/>
      <c r="C41" s="53"/>
      <c r="D41" s="26" t="s">
        <v>15</v>
      </c>
      <c r="E41" s="25"/>
      <c r="F41" s="26" t="s">
        <v>15</v>
      </c>
      <c r="G41" s="25"/>
      <c r="H41" s="26" t="s">
        <v>15</v>
      </c>
      <c r="I41" s="31"/>
      <c r="J41" s="53"/>
      <c r="K41" s="26" t="s">
        <v>15</v>
      </c>
      <c r="L41" s="25"/>
      <c r="M41" s="26" t="s">
        <v>15</v>
      </c>
      <c r="N41" s="25"/>
    </row>
    <row r="42" spans="1:14" hidden="1">
      <c r="A42" s="27" t="s">
        <v>16</v>
      </c>
      <c r="B42" s="101">
        <f>B37-B38-B41-B40-B39</f>
        <v>0</v>
      </c>
      <c r="C42" s="102"/>
      <c r="D42" s="27" t="s">
        <v>16</v>
      </c>
      <c r="E42" s="16">
        <f>E37-E38-E40-E41-E39</f>
        <v>0</v>
      </c>
      <c r="F42" s="27" t="s">
        <v>16</v>
      </c>
      <c r="G42" s="16">
        <f>G37-G38-G40-G41-G39</f>
        <v>0</v>
      </c>
      <c r="H42" s="27" t="s">
        <v>16</v>
      </c>
      <c r="I42" s="101">
        <f>I37-I38-I41-I40-I39</f>
        <v>0</v>
      </c>
      <c r="J42" s="102"/>
      <c r="K42" s="27" t="s">
        <v>16</v>
      </c>
      <c r="L42" s="16">
        <f>L37-L38-L40-L41-L39</f>
        <v>0</v>
      </c>
      <c r="M42" s="27" t="s">
        <v>16</v>
      </c>
      <c r="N42" s="16">
        <f>N37-N38-N40-N41-N39</f>
        <v>0</v>
      </c>
    </row>
    <row r="43" spans="1:14" hidden="1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</row>
    <row r="44" spans="1:14" hidden="1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</row>
    <row r="45" spans="1:14" ht="15.75" hidden="1">
      <c r="A45" s="98" t="s">
        <v>21</v>
      </c>
      <c r="B45" s="100"/>
      <c r="C45" s="99"/>
      <c r="D45" s="98" t="s">
        <v>22</v>
      </c>
      <c r="E45" s="99"/>
      <c r="F45" s="98" t="s">
        <v>23</v>
      </c>
      <c r="G45" s="99"/>
      <c r="H45" s="98" t="s">
        <v>24</v>
      </c>
      <c r="I45" s="100"/>
      <c r="J45" s="99"/>
      <c r="K45" s="98" t="s">
        <v>25</v>
      </c>
      <c r="L45" s="99"/>
      <c r="M45" s="98" t="s">
        <v>26</v>
      </c>
      <c r="N45" s="99"/>
    </row>
    <row r="46" spans="1:14" hidden="1">
      <c r="A46" s="23" t="s">
        <v>12</v>
      </c>
      <c r="B46" s="51"/>
      <c r="C46" s="52"/>
      <c r="D46" s="23" t="s">
        <v>12</v>
      </c>
      <c r="E46" s="51"/>
      <c r="F46" s="23" t="s">
        <v>12</v>
      </c>
      <c r="G46" s="51"/>
      <c r="H46" s="23" t="s">
        <v>12</v>
      </c>
      <c r="I46" s="51"/>
      <c r="J46" s="52"/>
      <c r="K46" s="23" t="s">
        <v>12</v>
      </c>
      <c r="L46" s="51"/>
      <c r="M46" s="23" t="s">
        <v>12</v>
      </c>
      <c r="N46" s="51"/>
    </row>
    <row r="47" spans="1:14" hidden="1">
      <c r="A47" s="23" t="s">
        <v>13</v>
      </c>
      <c r="B47" s="51"/>
      <c r="C47" s="52"/>
      <c r="D47" s="23" t="s">
        <v>13</v>
      </c>
      <c r="E47" s="51"/>
      <c r="F47" s="23" t="s">
        <v>13</v>
      </c>
      <c r="G47" s="51"/>
      <c r="H47" s="23" t="s">
        <v>13</v>
      </c>
      <c r="I47" s="51"/>
      <c r="J47" s="52"/>
      <c r="K47" s="23" t="s">
        <v>13</v>
      </c>
      <c r="L47" s="51"/>
      <c r="M47" s="23" t="s">
        <v>13</v>
      </c>
      <c r="N47" s="51"/>
    </row>
    <row r="48" spans="1:14" ht="15" hidden="1" customHeight="1">
      <c r="A48" s="23" t="s">
        <v>14</v>
      </c>
      <c r="B48" s="31"/>
      <c r="C48" s="53"/>
      <c r="D48" s="23" t="s">
        <v>14</v>
      </c>
      <c r="E48" s="31"/>
      <c r="F48" s="23" t="s">
        <v>14</v>
      </c>
      <c r="G48" s="31"/>
      <c r="H48" s="23" t="s">
        <v>14</v>
      </c>
      <c r="I48" s="31"/>
      <c r="J48" s="53"/>
      <c r="K48" s="23" t="s">
        <v>14</v>
      </c>
      <c r="L48" s="31"/>
      <c r="M48" s="23" t="s">
        <v>14</v>
      </c>
      <c r="N48" s="31"/>
    </row>
    <row r="49" spans="1:14" ht="15.75" hidden="1" customHeight="1">
      <c r="A49" s="26" t="s">
        <v>15</v>
      </c>
      <c r="B49" s="31"/>
      <c r="C49" s="53"/>
      <c r="D49" s="26" t="s">
        <v>15</v>
      </c>
      <c r="E49" s="31"/>
      <c r="F49" s="26" t="s">
        <v>15</v>
      </c>
      <c r="G49" s="31"/>
      <c r="H49" s="26" t="s">
        <v>15</v>
      </c>
      <c r="I49" s="31"/>
      <c r="J49" s="53"/>
      <c r="K49" s="26" t="s">
        <v>15</v>
      </c>
      <c r="L49" s="31"/>
      <c r="M49" s="26" t="s">
        <v>15</v>
      </c>
      <c r="N49" s="31"/>
    </row>
    <row r="50" spans="1:14" hidden="1">
      <c r="A50" s="26" t="s">
        <v>15</v>
      </c>
      <c r="B50" s="31"/>
      <c r="C50" s="53"/>
      <c r="D50" s="26" t="s">
        <v>15</v>
      </c>
      <c r="E50" s="31"/>
      <c r="F50" s="26" t="s">
        <v>15</v>
      </c>
      <c r="G50" s="31"/>
      <c r="H50" s="26" t="s">
        <v>15</v>
      </c>
      <c r="I50" s="31"/>
      <c r="J50" s="53"/>
      <c r="K50" s="26" t="s">
        <v>15</v>
      </c>
      <c r="L50" s="31"/>
      <c r="M50" s="26" t="s">
        <v>15</v>
      </c>
      <c r="N50" s="31"/>
    </row>
    <row r="51" spans="1:14" hidden="1">
      <c r="A51" s="26" t="s">
        <v>15</v>
      </c>
      <c r="B51" s="31"/>
      <c r="C51" s="53"/>
      <c r="D51" s="26" t="s">
        <v>15</v>
      </c>
      <c r="E51" s="31"/>
      <c r="F51" s="26" t="s">
        <v>15</v>
      </c>
      <c r="G51" s="31"/>
      <c r="H51" s="26" t="s">
        <v>15</v>
      </c>
      <c r="I51" s="31"/>
      <c r="J51" s="53"/>
      <c r="K51" s="26" t="s">
        <v>15</v>
      </c>
      <c r="L51" s="31"/>
      <c r="M51" s="26" t="s">
        <v>15</v>
      </c>
      <c r="N51" s="31"/>
    </row>
    <row r="52" spans="1:14" hidden="1">
      <c r="A52" s="26" t="s">
        <v>15</v>
      </c>
      <c r="B52" s="31"/>
      <c r="C52" s="53"/>
      <c r="D52" s="26" t="s">
        <v>15</v>
      </c>
      <c r="E52" s="25"/>
      <c r="F52" s="26" t="s">
        <v>15</v>
      </c>
      <c r="G52" s="25"/>
      <c r="H52" s="26" t="s">
        <v>15</v>
      </c>
      <c r="I52" s="31"/>
      <c r="J52" s="53"/>
      <c r="K52" s="26" t="s">
        <v>15</v>
      </c>
      <c r="L52" s="25"/>
      <c r="M52" s="26" t="s">
        <v>15</v>
      </c>
      <c r="N52" s="25"/>
    </row>
    <row r="53" spans="1:14" hidden="1">
      <c r="A53" s="27" t="s">
        <v>16</v>
      </c>
      <c r="B53" s="101">
        <f>B48-B49-B52-B51-B50</f>
        <v>0</v>
      </c>
      <c r="C53" s="102"/>
      <c r="D53" s="27" t="s">
        <v>16</v>
      </c>
      <c r="E53" s="16">
        <f>E48-E49-E51-E52-E50</f>
        <v>0</v>
      </c>
      <c r="F53" s="27" t="s">
        <v>16</v>
      </c>
      <c r="G53" s="16">
        <f>G48-G49-G51-G52-G50</f>
        <v>0</v>
      </c>
      <c r="H53" s="27" t="s">
        <v>16</v>
      </c>
      <c r="I53" s="101">
        <f>I48-I49-I52-I51-I50</f>
        <v>0</v>
      </c>
      <c r="J53" s="102"/>
      <c r="K53" s="27" t="s">
        <v>16</v>
      </c>
      <c r="L53" s="16">
        <f>L48-L49-L51-L52-L50</f>
        <v>0</v>
      </c>
      <c r="M53" s="27" t="s">
        <v>16</v>
      </c>
      <c r="N53" s="16">
        <f>N48-N49-N51-N52-N50</f>
        <v>0</v>
      </c>
    </row>
    <row r="54" spans="1:14" hidden="1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</row>
    <row r="55" spans="1:14" hidden="1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</row>
    <row r="56" spans="1:14" ht="15.75" thickBot="1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</row>
    <row r="57" spans="1:14">
      <c r="A57" s="11"/>
      <c r="B57" s="11"/>
      <c r="C57" s="11"/>
      <c r="D57" s="11"/>
      <c r="E57" s="11"/>
      <c r="F57" s="108" t="s">
        <v>20</v>
      </c>
      <c r="G57" s="109"/>
      <c r="H57" s="112">
        <f>Q8+Q10</f>
        <v>35333.230000000003</v>
      </c>
      <c r="I57" s="113"/>
      <c r="J57" s="11"/>
      <c r="K57" s="11"/>
      <c r="L57" s="11"/>
      <c r="M57" s="11"/>
      <c r="N57" s="11"/>
    </row>
    <row r="58" spans="1:14" ht="15.75" thickBot="1">
      <c r="A58" s="11"/>
      <c r="B58" s="11"/>
      <c r="C58" s="11"/>
      <c r="D58" s="11"/>
      <c r="E58" s="11"/>
      <c r="F58" s="110"/>
      <c r="G58" s="111"/>
      <c r="H58" s="114"/>
      <c r="I58" s="115"/>
      <c r="J58" s="11"/>
      <c r="K58" s="11"/>
      <c r="L58" s="11"/>
      <c r="M58" s="11"/>
      <c r="N58" s="11"/>
    </row>
    <row r="59" spans="1:14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</row>
    <row r="60" spans="1:14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</row>
    <row r="61" spans="1:14"/>
    <row r="63" spans="1:14" ht="15" hidden="1" customHeight="1">
      <c r="D63" s="6"/>
      <c r="E63" s="6"/>
      <c r="F63" s="7"/>
      <c r="G63" s="7"/>
    </row>
    <row r="64" spans="1:14" ht="15" hidden="1" customHeight="1">
      <c r="D64" s="6"/>
      <c r="E64" s="6"/>
      <c r="F64" s="7"/>
      <c r="G64" s="7"/>
    </row>
  </sheetData>
  <sheetProtection sheet="1" scenarios="1" formatRows="0" selectLockedCells="1"/>
  <mergeCells count="40">
    <mergeCell ref="E29:K30"/>
    <mergeCell ref="F57:G58"/>
    <mergeCell ref="H57:I58"/>
    <mergeCell ref="B53:C53"/>
    <mergeCell ref="I53:J53"/>
    <mergeCell ref="I42:J42"/>
    <mergeCell ref="B42:C42"/>
    <mergeCell ref="F34:G34"/>
    <mergeCell ref="H34:J34"/>
    <mergeCell ref="K34:L34"/>
    <mergeCell ref="M45:N45"/>
    <mergeCell ref="A45:C45"/>
    <mergeCell ref="D45:E45"/>
    <mergeCell ref="F45:G45"/>
    <mergeCell ref="H45:J45"/>
    <mergeCell ref="K45:L45"/>
    <mergeCell ref="M34:N34"/>
    <mergeCell ref="D34:E34"/>
    <mergeCell ref="A34:C34"/>
    <mergeCell ref="E2:K2"/>
    <mergeCell ref="B5:D5"/>
    <mergeCell ref="B14:C14"/>
    <mergeCell ref="K17:L17"/>
    <mergeCell ref="I14:J14"/>
    <mergeCell ref="B25:C25"/>
    <mergeCell ref="I25:J25"/>
    <mergeCell ref="M17:N17"/>
    <mergeCell ref="A17:C17"/>
    <mergeCell ref="D17:E17"/>
    <mergeCell ref="F17:G17"/>
    <mergeCell ref="H17:J17"/>
    <mergeCell ref="A6:C6"/>
    <mergeCell ref="B3:D3"/>
    <mergeCell ref="B4:D4"/>
    <mergeCell ref="B2:D2"/>
    <mergeCell ref="M6:N6"/>
    <mergeCell ref="H6:J6"/>
    <mergeCell ref="K6:L6"/>
    <mergeCell ref="D6:E6"/>
    <mergeCell ref="F6:G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utton3_Click">
                <anchor moveWithCells="1" sizeWithCells="1">
                  <from>
                    <xdr:col>11</xdr:col>
                    <xdr:colOff>466725</xdr:colOff>
                    <xdr:row>1</xdr:row>
                    <xdr:rowOff>276225</xdr:rowOff>
                  </from>
                  <to>
                    <xdr:col>12</xdr:col>
                    <xdr:colOff>1209675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Lists!$A$2:$A$4</xm:f>
          </x14:formula1>
          <xm:sqref>B5:D5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FC30"/>
  <sheetViews>
    <sheetView showGridLines="0" topLeftCell="A10" zoomScaleNormal="100" workbookViewId="0">
      <selection activeCell="P21" sqref="P21"/>
    </sheetView>
  </sheetViews>
  <sheetFormatPr defaultColWidth="0" defaultRowHeight="15" zeroHeight="1"/>
  <cols>
    <col min="1" max="1" width="3.7109375" customWidth="1"/>
    <col min="2" max="2" width="2.42578125" hidden="1" customWidth="1"/>
    <col min="3" max="3" width="8.85546875" customWidth="1"/>
    <col min="4" max="4" width="30.28515625" customWidth="1"/>
    <col min="5" max="5" width="2.85546875" customWidth="1"/>
    <col min="6" max="6" width="8.85546875" customWidth="1"/>
    <col min="7" max="7" width="2.42578125" customWidth="1"/>
    <col min="8" max="8" width="8.85546875" customWidth="1"/>
    <col min="9" max="9" width="31.85546875" customWidth="1"/>
    <col min="10" max="10" width="8.85546875" customWidth="1"/>
    <col min="11" max="11" width="3.140625" customWidth="1"/>
    <col min="12" max="12" width="2.28515625" customWidth="1"/>
    <col min="13" max="13" width="8.85546875" customWidth="1"/>
    <col min="14" max="14" width="28.42578125" customWidth="1"/>
    <col min="15" max="15" width="8.85546875" customWidth="1"/>
    <col min="16" max="16" width="27.85546875" customWidth="1"/>
    <col min="17" max="17" width="8.85546875" customWidth="1"/>
    <col min="18" max="19" width="2.7109375" customWidth="1"/>
    <col min="20" max="20" width="5.28515625" customWidth="1"/>
    <col min="21" max="21" width="5.28515625" hidden="1"/>
    <col min="22" max="22" width="35.28515625" hidden="1"/>
    <col min="23" max="23" width="8.7109375" hidden="1"/>
    <col min="24" max="24" width="5.28515625" hidden="1"/>
    <col min="25" max="25" width="9.42578125" hidden="1"/>
    <col min="26" max="26" width="13.5703125" hidden="1"/>
    <col min="27" max="16383" width="5.28515625" hidden="1"/>
    <col min="16384" max="16384" width="8.140625" hidden="1"/>
  </cols>
  <sheetData>
    <row r="1" spans="1:22" ht="90" customHeight="1">
      <c r="A1" s="55"/>
      <c r="B1" s="55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11"/>
      <c r="T1" s="11"/>
    </row>
    <row r="2" spans="1:22" ht="15.75" thickBot="1"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</row>
    <row r="3" spans="1:22">
      <c r="A3" s="1"/>
      <c r="B3" s="2"/>
      <c r="C3" s="32"/>
      <c r="D3" s="32"/>
      <c r="E3" s="32"/>
      <c r="F3" s="32"/>
      <c r="G3" s="33"/>
      <c r="H3" s="32"/>
      <c r="I3" s="32"/>
      <c r="J3" s="32"/>
      <c r="K3" s="32"/>
      <c r="L3" s="33"/>
      <c r="M3" s="32"/>
      <c r="N3" s="32"/>
      <c r="O3" s="32"/>
      <c r="P3" s="32"/>
      <c r="Q3" s="34"/>
      <c r="R3" s="11"/>
      <c r="S3" s="11"/>
      <c r="T3" s="11"/>
    </row>
    <row r="4" spans="1:22">
      <c r="A4" s="3"/>
      <c r="C4" s="11"/>
      <c r="D4" s="35">
        <f>'Business Asset Analysis'!H57</f>
        <v>35333.230000000003</v>
      </c>
      <c r="E4" s="11"/>
      <c r="F4" s="11"/>
      <c r="G4" s="36"/>
      <c r="H4" s="11"/>
      <c r="I4" s="35">
        <f>'Business Asset Analysis'!H57</f>
        <v>35333.230000000003</v>
      </c>
      <c r="J4" s="11"/>
      <c r="K4" s="11"/>
      <c r="L4" s="36"/>
      <c r="M4" s="11"/>
      <c r="N4" s="35">
        <f>IF(P4="Enter Expenses",0,IF(P8="Enter Revenue",0,P8-P4))</f>
        <v>0</v>
      </c>
      <c r="O4" s="11"/>
      <c r="P4" s="37" t="s">
        <v>97</v>
      </c>
      <c r="Q4" s="38"/>
      <c r="R4" s="11"/>
      <c r="S4" s="11"/>
      <c r="T4" s="11"/>
    </row>
    <row r="5" spans="1:22">
      <c r="A5" s="3"/>
      <c r="C5" s="11"/>
      <c r="D5" s="39" t="str">
        <f>IF('Business Asset Analysis'!B5 = "12 Month","12 Month Total",IF('Business Asset Analysis'!B5 = "24 Month","24 Month Total","Number of months not selected"))</f>
        <v>12 Month Total</v>
      </c>
      <c r="E5" s="11"/>
      <c r="F5" s="11"/>
      <c r="G5" s="36"/>
      <c r="H5" s="11"/>
      <c r="I5" s="39" t="str">
        <f>IF('Business Asset Analysis'!B5 = "12 Month","12 Month Total",IF('Business Asset Analysis'!B5 = "24 Month","24 Month Total","Number of months not selected"))</f>
        <v>12 Month Total</v>
      </c>
      <c r="J5" s="11"/>
      <c r="K5" s="11"/>
      <c r="L5" s="36"/>
      <c r="M5" s="11"/>
      <c r="N5" s="39" t="s">
        <v>8</v>
      </c>
      <c r="O5" s="11"/>
      <c r="P5" s="39" t="s">
        <v>7</v>
      </c>
      <c r="Q5" s="38"/>
      <c r="R5" s="11"/>
      <c r="S5" s="11"/>
      <c r="T5" s="11"/>
    </row>
    <row r="6" spans="1:22">
      <c r="A6" s="3"/>
      <c r="C6" s="11"/>
      <c r="D6" s="11"/>
      <c r="E6" s="11"/>
      <c r="F6" s="11"/>
      <c r="G6" s="36"/>
      <c r="H6" s="11"/>
      <c r="I6" s="11"/>
      <c r="J6" s="11"/>
      <c r="K6" s="11"/>
      <c r="L6" s="36"/>
      <c r="M6" s="11"/>
      <c r="N6" s="40"/>
      <c r="O6" s="11"/>
      <c r="P6" s="40"/>
      <c r="Q6" s="38"/>
      <c r="R6" s="11"/>
      <c r="S6" s="11"/>
      <c r="T6" s="11"/>
    </row>
    <row r="7" spans="1:22">
      <c r="A7" s="3"/>
      <c r="C7" s="11"/>
      <c r="D7" s="40"/>
      <c r="E7" s="11"/>
      <c r="F7" s="11"/>
      <c r="G7" s="36"/>
      <c r="H7" s="11"/>
      <c r="I7" s="40"/>
      <c r="J7" s="11"/>
      <c r="K7" s="11"/>
      <c r="L7" s="36"/>
      <c r="M7" s="11"/>
      <c r="N7" s="40"/>
      <c r="O7" s="11"/>
      <c r="P7" s="40"/>
      <c r="Q7" s="38"/>
      <c r="R7" s="11"/>
      <c r="S7" s="11"/>
      <c r="T7" s="11"/>
    </row>
    <row r="8" spans="1:22">
      <c r="A8" s="3"/>
      <c r="C8" s="11"/>
      <c r="D8" s="41">
        <f>'Business Asset Analysis'!B3</f>
        <v>1</v>
      </c>
      <c r="E8" s="11"/>
      <c r="F8" s="11"/>
      <c r="G8" s="36"/>
      <c r="H8" s="11"/>
      <c r="I8" s="41">
        <f>'Business Asset Analysis'!B3</f>
        <v>1</v>
      </c>
      <c r="J8" s="11"/>
      <c r="K8" s="11"/>
      <c r="L8" s="36"/>
      <c r="M8" s="11"/>
      <c r="N8" s="41">
        <f>'Business Asset Analysis'!B3</f>
        <v>1</v>
      </c>
      <c r="O8" s="11"/>
      <c r="P8" s="37" t="s">
        <v>98</v>
      </c>
      <c r="Q8" s="38"/>
      <c r="R8" s="11"/>
      <c r="S8" s="11"/>
      <c r="T8" s="11"/>
    </row>
    <row r="9" spans="1:22">
      <c r="A9" s="3"/>
      <c r="C9" s="11"/>
      <c r="D9" s="39" t="s">
        <v>2</v>
      </c>
      <c r="E9" s="11"/>
      <c r="F9" s="11"/>
      <c r="G9" s="36"/>
      <c r="H9" s="11"/>
      <c r="I9" s="39" t="s">
        <v>2</v>
      </c>
      <c r="J9" s="11"/>
      <c r="K9" s="11"/>
      <c r="L9" s="36"/>
      <c r="M9" s="11"/>
      <c r="N9" s="39" t="s">
        <v>2</v>
      </c>
      <c r="O9" s="11"/>
      <c r="P9" s="39" t="s">
        <v>6</v>
      </c>
      <c r="Q9" s="38"/>
      <c r="R9" s="11"/>
      <c r="S9" s="11"/>
      <c r="T9" s="11"/>
    </row>
    <row r="10" spans="1:22">
      <c r="A10" s="3"/>
      <c r="C10" s="11"/>
      <c r="D10" s="11"/>
      <c r="E10" s="11"/>
      <c r="F10" s="11"/>
      <c r="G10" s="36"/>
      <c r="H10" s="11"/>
      <c r="I10" s="11"/>
      <c r="J10" s="11"/>
      <c r="K10" s="11"/>
      <c r="L10" s="36"/>
      <c r="M10" s="11"/>
      <c r="N10" s="40"/>
      <c r="O10" s="11"/>
      <c r="P10" s="11"/>
      <c r="Q10" s="38"/>
      <c r="R10" s="11"/>
      <c r="S10" s="11"/>
      <c r="T10" s="11"/>
    </row>
    <row r="11" spans="1:22">
      <c r="A11" s="3"/>
      <c r="C11" s="11"/>
      <c r="D11" s="11"/>
      <c r="E11" s="42"/>
      <c r="F11" s="11"/>
      <c r="G11" s="36"/>
      <c r="H11" s="11"/>
      <c r="I11" s="11"/>
      <c r="J11" s="11"/>
      <c r="K11" s="11"/>
      <c r="L11" s="36"/>
      <c r="M11" s="11"/>
      <c r="N11" s="40"/>
      <c r="O11" s="11"/>
      <c r="P11" s="11"/>
      <c r="Q11" s="38"/>
      <c r="R11" s="11"/>
      <c r="S11" s="11"/>
      <c r="T11" s="11"/>
      <c r="V11" t="s">
        <v>94</v>
      </c>
    </row>
    <row r="12" spans="1:22">
      <c r="A12" s="3"/>
      <c r="C12" s="11"/>
      <c r="D12" s="43">
        <f>IF(D4=0,"",IF(D8=0,"",IF('Business Asset Analysis'!B5="12 Month",(D4*D8)/12,IF('Business Asset Analysis'!B5="24 Month",(D4*D8)/24,""))))</f>
        <v>2944.4358333333334</v>
      </c>
      <c r="E12" s="11"/>
      <c r="F12" s="11"/>
      <c r="G12" s="36"/>
      <c r="H12" s="11"/>
      <c r="I12" s="43">
        <f>IF('Business Asset Analysis'!B5="12 Month",(I4*I8)/12,IF('Business Asset Analysis'!B5="24 Month",(I4*I8)/24,""))</f>
        <v>2944.4358333333334</v>
      </c>
      <c r="J12" s="11"/>
      <c r="K12" s="11"/>
      <c r="L12" s="36"/>
      <c r="M12" s="11"/>
      <c r="N12" s="44">
        <f>V17</f>
        <v>0</v>
      </c>
      <c r="O12" s="11"/>
      <c r="P12" s="25">
        <v>0</v>
      </c>
      <c r="Q12" s="38"/>
      <c r="R12" s="11"/>
      <c r="S12" s="11"/>
      <c r="T12" s="11"/>
      <c r="V12" s="8">
        <f>IF(AND(P13 = "Verified income to borrower",P17="Verified income to borrower",P21="Verified income to borrower"),(P12+P16+P20)/12,IF(AND(P13 = "Verified income to borrower",P17="Verified income to borrower"),(P12+P16+(P20*N8)/12),IF(AND(P13 = "Verified income to borrower",P21 = "Verified income to borrower"),(P20+P12+(P16*N8)/12),IF(AND(P21 = "Verified income to borrower", P17 = "Verified income to borrower"),(P20+P16+(P12*N8)/12),IF(P13="Verified income to borrower",(P12+(P16+P20)*N8)/12,IF(P17="Verified income to borrower",(P16+(P12+P20)*N8)/12,IF(P21="Verified income to borrower",(P20+(P16+P12)*N8)/12,(P12+P16+P20)*N8)/12))))))</f>
        <v>0</v>
      </c>
    </row>
    <row r="13" spans="1:22">
      <c r="A13" s="3"/>
      <c r="C13" s="11"/>
      <c r="D13" s="39" t="s">
        <v>0</v>
      </c>
      <c r="E13" s="11"/>
      <c r="F13" s="11"/>
      <c r="G13" s="36"/>
      <c r="H13" s="11"/>
      <c r="I13" s="39" t="s">
        <v>0</v>
      </c>
      <c r="J13" s="11"/>
      <c r="K13" s="11"/>
      <c r="L13" s="36"/>
      <c r="M13" s="11"/>
      <c r="N13" s="39" t="s">
        <v>77</v>
      </c>
      <c r="O13" s="11"/>
      <c r="P13" s="57" t="s">
        <v>86</v>
      </c>
      <c r="Q13" s="38"/>
      <c r="R13" s="11"/>
      <c r="S13" s="11"/>
      <c r="T13" s="11"/>
    </row>
    <row r="14" spans="1:22">
      <c r="A14" s="3"/>
      <c r="C14" s="11"/>
      <c r="D14" s="40"/>
      <c r="E14" s="11"/>
      <c r="F14" s="11"/>
      <c r="G14" s="36"/>
      <c r="H14" s="11"/>
      <c r="I14" s="40"/>
      <c r="J14" s="11"/>
      <c r="K14" s="11"/>
      <c r="L14" s="36"/>
      <c r="M14" s="11"/>
      <c r="N14" s="40"/>
      <c r="O14" s="11"/>
      <c r="P14" s="11"/>
      <c r="Q14" s="38"/>
      <c r="R14" s="11"/>
      <c r="S14" s="11"/>
      <c r="T14" s="11"/>
    </row>
    <row r="15" spans="1:22">
      <c r="A15" s="3"/>
      <c r="C15" s="11"/>
      <c r="D15" s="40"/>
      <c r="E15" s="11"/>
      <c r="F15" s="11"/>
      <c r="G15" s="36"/>
      <c r="H15" s="11"/>
      <c r="I15" s="40"/>
      <c r="J15" s="11"/>
      <c r="K15" s="11"/>
      <c r="L15" s="36"/>
      <c r="M15" s="11"/>
      <c r="N15" s="40"/>
      <c r="O15" s="11"/>
      <c r="P15" s="11"/>
      <c r="Q15" s="38"/>
      <c r="R15" s="11"/>
      <c r="S15" s="11"/>
      <c r="T15" s="11"/>
    </row>
    <row r="16" spans="1:22">
      <c r="A16" s="3"/>
      <c r="C16" s="11"/>
      <c r="D16" s="45">
        <v>0.5</v>
      </c>
      <c r="E16" s="11"/>
      <c r="F16" s="11"/>
      <c r="G16" s="36"/>
      <c r="H16" s="11"/>
      <c r="I16" s="46" t="s">
        <v>75</v>
      </c>
      <c r="J16" s="11"/>
      <c r="K16" s="11"/>
      <c r="L16" s="36"/>
      <c r="M16" s="11"/>
      <c r="N16" s="41">
        <f>IF(P4 = "Enter Expenses",0,IF(P8 = "Enter Revenue",0,P4/P8))</f>
        <v>0</v>
      </c>
      <c r="O16" s="11"/>
      <c r="P16" s="25">
        <v>0</v>
      </c>
      <c r="Q16" s="38"/>
      <c r="R16" s="11"/>
      <c r="S16" s="11"/>
      <c r="T16" s="11"/>
      <c r="V16" t="s">
        <v>76</v>
      </c>
    </row>
    <row r="17" spans="1:26">
      <c r="A17" s="3"/>
      <c r="C17" s="11"/>
      <c r="D17" s="39" t="s">
        <v>4</v>
      </c>
      <c r="E17" s="11"/>
      <c r="F17" s="11"/>
      <c r="G17" s="36"/>
      <c r="H17" s="11"/>
      <c r="I17" s="39" t="s">
        <v>3</v>
      </c>
      <c r="J17" s="11"/>
      <c r="K17" s="11"/>
      <c r="L17" s="36"/>
      <c r="M17" s="11"/>
      <c r="N17" s="39" t="s">
        <v>5</v>
      </c>
      <c r="O17" s="11"/>
      <c r="P17" s="57" t="s">
        <v>92</v>
      </c>
      <c r="Q17" s="38"/>
      <c r="R17" s="11"/>
      <c r="S17" s="11"/>
      <c r="T17" s="11"/>
      <c r="V17">
        <f>IF(V12="","",N4/12)</f>
        <v>0</v>
      </c>
    </row>
    <row r="18" spans="1:26">
      <c r="A18" s="3"/>
      <c r="C18" s="11"/>
      <c r="D18" s="40"/>
      <c r="E18" s="11"/>
      <c r="F18" s="11"/>
      <c r="G18" s="36"/>
      <c r="H18" s="11"/>
      <c r="I18" s="40"/>
      <c r="J18" s="11"/>
      <c r="K18" s="11"/>
      <c r="L18" s="36"/>
      <c r="M18" s="11"/>
      <c r="N18" s="40"/>
      <c r="O18" s="11"/>
      <c r="P18" s="11"/>
      <c r="Q18" s="38"/>
      <c r="R18" s="11"/>
      <c r="S18" s="11"/>
      <c r="T18" s="11"/>
    </row>
    <row r="19" spans="1:26">
      <c r="A19" s="3"/>
      <c r="C19" s="11"/>
      <c r="D19" s="40"/>
      <c r="E19" s="11"/>
      <c r="F19" s="11"/>
      <c r="G19" s="36"/>
      <c r="H19" s="11"/>
      <c r="I19" s="40"/>
      <c r="J19" s="11"/>
      <c r="K19" s="11"/>
      <c r="L19" s="36"/>
      <c r="M19" s="11"/>
      <c r="N19" s="40"/>
      <c r="O19" s="11"/>
      <c r="P19" s="11"/>
      <c r="Q19" s="38"/>
      <c r="R19" s="11"/>
      <c r="S19" s="11"/>
      <c r="T19" s="11"/>
      <c r="V19" t="s">
        <v>95</v>
      </c>
      <c r="Y19" t="s">
        <v>96</v>
      </c>
    </row>
    <row r="20" spans="1:26">
      <c r="A20" s="3"/>
      <c r="C20" s="11"/>
      <c r="D20" s="47">
        <f>IF(D12="",0,IF(D8=0,0,D12*0.5))</f>
        <v>1472.2179166666667</v>
      </c>
      <c r="E20" s="11"/>
      <c r="F20" s="11"/>
      <c r="G20" s="36"/>
      <c r="H20" s="11"/>
      <c r="I20" s="47">
        <f>IF(I16= "Enter % here",0,I12*(1-I16))</f>
        <v>0</v>
      </c>
      <c r="J20" s="11"/>
      <c r="K20" s="11"/>
      <c r="L20" s="36"/>
      <c r="M20" s="11"/>
      <c r="N20" s="47">
        <f>MIN(V20,Y20)</f>
        <v>0</v>
      </c>
      <c r="O20" s="11"/>
      <c r="P20" s="25">
        <v>0</v>
      </c>
      <c r="Q20" s="38"/>
      <c r="R20" s="11"/>
      <c r="S20" s="11"/>
      <c r="T20" s="11"/>
      <c r="V20" s="15">
        <f>V12+V17</f>
        <v>0</v>
      </c>
      <c r="Y20" s="15" t="str">
        <f>IF(I12="", "",IF(N16=0,"",I12*(1-N16)))</f>
        <v/>
      </c>
    </row>
    <row r="21" spans="1:26">
      <c r="A21" s="3"/>
      <c r="C21" s="11"/>
      <c r="D21" s="39" t="s">
        <v>1</v>
      </c>
      <c r="E21" s="11"/>
      <c r="F21" s="11"/>
      <c r="G21" s="36"/>
      <c r="H21" s="11"/>
      <c r="I21" s="39" t="s">
        <v>1</v>
      </c>
      <c r="J21" s="11"/>
      <c r="K21" s="11"/>
      <c r="L21" s="36"/>
      <c r="M21" s="11"/>
      <c r="N21" s="39" t="s">
        <v>1</v>
      </c>
      <c r="O21" s="11"/>
      <c r="P21" s="57" t="s">
        <v>93</v>
      </c>
      <c r="Q21" s="38"/>
      <c r="R21" s="11"/>
      <c r="S21" s="11"/>
      <c r="T21" s="11"/>
    </row>
    <row r="22" spans="1:26">
      <c r="A22" s="3"/>
      <c r="C22" s="11"/>
      <c r="D22" s="11"/>
      <c r="E22" s="11"/>
      <c r="F22" s="11"/>
      <c r="G22" s="36"/>
      <c r="H22" s="11"/>
      <c r="I22" s="11"/>
      <c r="J22" s="11"/>
      <c r="K22" s="11"/>
      <c r="L22" s="36"/>
      <c r="M22" s="11"/>
      <c r="N22" s="11"/>
      <c r="O22" s="11"/>
      <c r="P22" s="11"/>
      <c r="Q22" s="38"/>
      <c r="R22" s="11"/>
      <c r="S22" s="11"/>
      <c r="T22" s="11"/>
      <c r="V22" t="s">
        <v>78</v>
      </c>
    </row>
    <row r="23" spans="1:26">
      <c r="A23" s="3"/>
      <c r="C23" s="11"/>
      <c r="D23" s="11"/>
      <c r="E23" s="11"/>
      <c r="F23" s="11"/>
      <c r="G23" s="36"/>
      <c r="H23" s="11"/>
      <c r="I23" s="11"/>
      <c r="J23" s="11"/>
      <c r="K23" s="11"/>
      <c r="L23" s="36"/>
      <c r="M23" s="11"/>
      <c r="N23" s="130" t="str">
        <f>IF(X27="","",IF(X27="Yes","10% test passed","10% test failed"))</f>
        <v>10% test failed</v>
      </c>
      <c r="O23" s="130"/>
      <c r="P23" s="130"/>
      <c r="Q23" s="38"/>
      <c r="R23" s="11"/>
      <c r="S23" s="11"/>
      <c r="T23" s="11"/>
      <c r="V23" s="8" t="e">
        <f>Y20*(1-N16)</f>
        <v>#VALUE!</v>
      </c>
    </row>
    <row r="24" spans="1:26" ht="15.75" thickBot="1">
      <c r="A24" s="4"/>
      <c r="B24" s="5"/>
      <c r="C24" s="48"/>
      <c r="D24" s="48"/>
      <c r="E24" s="48"/>
      <c r="F24" s="48"/>
      <c r="G24" s="49"/>
      <c r="H24" s="48"/>
      <c r="I24" s="48"/>
      <c r="J24" s="48"/>
      <c r="K24" s="48"/>
      <c r="L24" s="49"/>
      <c r="M24" s="48"/>
      <c r="N24" s="131"/>
      <c r="O24" s="131"/>
      <c r="P24" s="131"/>
      <c r="Q24" s="50"/>
      <c r="R24" s="11"/>
      <c r="S24" s="11"/>
      <c r="T24" s="11"/>
    </row>
    <row r="25" spans="1:26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V25" t="s">
        <v>103</v>
      </c>
      <c r="Z25" t="s">
        <v>104</v>
      </c>
    </row>
    <row r="26" spans="1:26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V26" s="15" t="str">
        <f>P8</f>
        <v>Enter Revenue</v>
      </c>
      <c r="W26" t="s">
        <v>105</v>
      </c>
      <c r="X26" t="s">
        <v>106</v>
      </c>
      <c r="Z26" s="15">
        <f>I4</f>
        <v>35333.230000000003</v>
      </c>
    </row>
    <row r="27" spans="1:26"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W27" s="58" t="str">
        <f>IF(V26="Enter Revenue","No Test",IF(Z26=0,"No Test",(V26-Z26)/((V26+Z26)/2)))</f>
        <v>No Test</v>
      </c>
      <c r="X27" t="str">
        <f>IF(W27="No Test","No Test",IF(AND(W27&lt;=0.1,W27&gt;0),"Yes",IF(AND(W27&gt;=-0.1,W27&lt;0),"Yes","No")))</f>
        <v>No Test</v>
      </c>
    </row>
    <row r="28" spans="1:26"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1:26"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1:26"/>
  </sheetData>
  <sheetProtection sheet="1" selectLockedCells="1"/>
  <mergeCells count="1">
    <mergeCell ref="N23:P24"/>
  </mergeCells>
  <conditionalFormatting sqref="N23:P24">
    <cfRule type="expression" dxfId="12" priority="1">
      <formula>X27="No Test"</formula>
    </cfRule>
    <cfRule type="expression" dxfId="11" priority="2">
      <formula>X27="No"</formula>
    </cfRule>
    <cfRule type="expression" dxfId="10" priority="3">
      <formula>X27="Yes"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usinessAssetsCalculation_Button2_Click">
                <anchor moveWithCells="1" sizeWithCells="1">
                  <from>
                    <xdr:col>15</xdr:col>
                    <xdr:colOff>885825</xdr:colOff>
                    <xdr:row>0</xdr:row>
                    <xdr:rowOff>771525</xdr:rowOff>
                  </from>
                  <to>
                    <xdr:col>16</xdr:col>
                    <xdr:colOff>504825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0000000}">
          <x14:formula1>
            <xm:f>Lists!$F$2:$F$7</xm:f>
          </x14:formula1>
          <xm:sqref>P13</xm:sqref>
        </x14:dataValidation>
        <x14:dataValidation type="list" allowBlank="1" showInputMessage="1" showErrorMessage="1" xr:uid="{00000000-0002-0000-0200-000001000000}">
          <x14:formula1>
            <xm:f>Lists!$G$2:$G$7</xm:f>
          </x14:formula1>
          <xm:sqref>P17</xm:sqref>
        </x14:dataValidation>
        <x14:dataValidation type="list" allowBlank="1" showInputMessage="1" showErrorMessage="1" xr:uid="{00000000-0002-0000-0200-000002000000}">
          <x14:formula1>
            <xm:f>Lists!$H$2:$H$7</xm:f>
          </x14:formula1>
          <xm:sqref>P21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FC50"/>
  <sheetViews>
    <sheetView showGridLines="0" topLeftCell="A16" zoomScaleNormal="100" workbookViewId="0">
      <selection activeCell="C13" sqref="C13"/>
    </sheetView>
  </sheetViews>
  <sheetFormatPr defaultColWidth="0" defaultRowHeight="15" zeroHeight="1"/>
  <cols>
    <col min="1" max="1" width="8.5703125" customWidth="1"/>
    <col min="2" max="2" width="34.28515625" customWidth="1"/>
    <col min="3" max="3" width="27.42578125" bestFit="1" customWidth="1"/>
    <col min="4" max="4" width="35.5703125" bestFit="1" customWidth="1"/>
    <col min="5" max="5" width="7.140625" customWidth="1"/>
    <col min="6" max="6" width="7.42578125" customWidth="1"/>
    <col min="7" max="7" width="4.140625" customWidth="1"/>
    <col min="8" max="8" width="5.7109375" customWidth="1"/>
    <col min="9" max="9" width="41.5703125" bestFit="1" customWidth="1"/>
    <col min="10" max="10" width="47" customWidth="1"/>
    <col min="11" max="11" width="10.28515625" customWidth="1"/>
    <col min="12" max="18" width="5.7109375" hidden="1"/>
    <col min="19" max="19" width="14" hidden="1"/>
    <col min="20" max="20" width="14.140625" hidden="1"/>
    <col min="21" max="28" width="5.7109375" hidden="1"/>
    <col min="29" max="16383" width="1.28515625" hidden="1"/>
    <col min="16384" max="16384" width="13.85546875" hidden="1"/>
  </cols>
  <sheetData>
    <row r="1" spans="1:23" ht="15" customHeight="1">
      <c r="A1" s="133" t="s">
        <v>69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4"/>
      <c r="M1" s="14"/>
      <c r="N1" s="14"/>
      <c r="O1" s="14"/>
      <c r="Q1" s="135"/>
    </row>
    <row r="2" spans="1:23" ht="15" customHeight="1">
      <c r="A2" s="133"/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4"/>
      <c r="M2" s="14"/>
      <c r="N2" s="14"/>
      <c r="O2" s="14"/>
      <c r="Q2" s="135"/>
    </row>
    <row r="3" spans="1:23" ht="15" customHeight="1">
      <c r="A3" s="133"/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4"/>
      <c r="M3" s="14"/>
      <c r="N3" s="14"/>
      <c r="O3" s="14"/>
      <c r="Q3" s="135"/>
    </row>
    <row r="4" spans="1:23" ht="15" customHeight="1">
      <c r="A4" s="72"/>
      <c r="B4" s="67" t="s">
        <v>126</v>
      </c>
      <c r="C4" s="69" t="s">
        <v>128</v>
      </c>
      <c r="D4" s="73"/>
      <c r="E4" s="74"/>
      <c r="F4" s="74"/>
      <c r="G4" s="74"/>
      <c r="H4" s="74"/>
      <c r="I4" s="74"/>
      <c r="J4" s="72"/>
      <c r="K4" s="72"/>
      <c r="L4" s="14"/>
      <c r="M4" s="14"/>
      <c r="N4" s="14"/>
      <c r="O4" s="14"/>
      <c r="Q4" s="135"/>
      <c r="W4" s="61" t="s">
        <v>139</v>
      </c>
    </row>
    <row r="5" spans="1:23" ht="15" customHeight="1">
      <c r="A5" s="72"/>
      <c r="B5" s="67" t="s">
        <v>124</v>
      </c>
      <c r="C5" s="68"/>
      <c r="D5" s="73"/>
      <c r="E5" s="74"/>
      <c r="F5" s="74"/>
      <c r="G5" s="74"/>
      <c r="H5" s="74"/>
      <c r="I5" s="74"/>
      <c r="J5" s="72"/>
      <c r="K5" s="72"/>
      <c r="L5" s="14"/>
      <c r="M5" s="14"/>
      <c r="N5" s="14"/>
      <c r="O5" s="14"/>
      <c r="Q5" s="135"/>
    </row>
    <row r="6" spans="1:23" ht="15" customHeight="1">
      <c r="A6" s="72"/>
      <c r="B6" s="67" t="s">
        <v>130</v>
      </c>
      <c r="C6" s="70">
        <v>726200</v>
      </c>
      <c r="D6" s="73"/>
      <c r="E6" s="74"/>
      <c r="F6" s="74"/>
      <c r="G6" s="74"/>
      <c r="H6" s="74"/>
      <c r="I6" s="74"/>
      <c r="J6" s="72"/>
      <c r="K6" s="72"/>
      <c r="L6" s="14"/>
      <c r="M6" s="14"/>
      <c r="N6" s="14"/>
      <c r="O6" s="14"/>
      <c r="Q6" s="135"/>
    </row>
    <row r="7" spans="1:23" ht="15" customHeight="1">
      <c r="A7" s="132"/>
      <c r="B7" s="67" t="s">
        <v>46</v>
      </c>
      <c r="C7" s="70">
        <v>6334.06</v>
      </c>
      <c r="D7" s="73"/>
      <c r="E7" s="74"/>
      <c r="F7" s="74"/>
      <c r="G7" s="74"/>
      <c r="H7" s="74"/>
      <c r="I7" s="74"/>
      <c r="J7" s="9" t="s">
        <v>48</v>
      </c>
      <c r="K7" s="132"/>
      <c r="L7" s="10"/>
      <c r="M7" s="10"/>
      <c r="N7" s="10"/>
      <c r="O7" s="10"/>
      <c r="Q7" s="135"/>
    </row>
    <row r="8" spans="1:23" ht="15" customHeight="1">
      <c r="A8" s="132"/>
      <c r="B8" s="139" t="s">
        <v>47</v>
      </c>
      <c r="C8" s="139"/>
      <c r="D8" s="73"/>
      <c r="E8" s="74"/>
      <c r="F8" s="74"/>
      <c r="G8" s="74"/>
      <c r="H8" s="74"/>
      <c r="I8" s="74"/>
      <c r="J8" s="13">
        <f>IF(T10="","",T10+W15)</f>
        <v>65410.54</v>
      </c>
      <c r="K8" s="132"/>
      <c r="L8" s="11"/>
      <c r="M8" s="11"/>
      <c r="N8" s="11"/>
      <c r="O8" s="11"/>
      <c r="Q8" s="135"/>
      <c r="T8" t="s">
        <v>133</v>
      </c>
      <c r="W8" t="s">
        <v>134</v>
      </c>
    </row>
    <row r="9" spans="1:23" ht="15" customHeight="1">
      <c r="A9" s="132"/>
      <c r="B9" s="75" t="s">
        <v>45</v>
      </c>
      <c r="C9" s="75" t="s">
        <v>57</v>
      </c>
      <c r="D9" s="140"/>
      <c r="E9" s="134"/>
      <c r="F9" s="134"/>
      <c r="G9" s="134"/>
      <c r="H9" s="134"/>
      <c r="I9" s="88"/>
      <c r="J9" s="85" t="s">
        <v>68</v>
      </c>
      <c r="K9" s="132"/>
      <c r="L9" s="11"/>
      <c r="M9" s="11"/>
      <c r="N9" s="11"/>
      <c r="O9" s="11"/>
      <c r="Q9" s="135"/>
      <c r="S9" s="61" t="s">
        <v>138</v>
      </c>
      <c r="T9" s="8">
        <f>IF(AND(C4="Yes",C6&lt;=1000000,C5&lt;=6),C7*6,IF(AND(C4="Yes",C6&lt;=1000000,C5&gt;6),C7*C5,IF(AND(C4="Yes",C6&gt;1000000,C6&lt;=1500000,C5&lt;=9),C7*9,IF(AND(C4="Yes",C6&gt;1000000,C6&lt;=1500000,C5&gt;9),C7*C5,IF(AND(C4="Yes",C6&gt;1500000,C5&lt;=12),C7*12,IF(AND(C4="Yes",C6&gt;1500000,C5&gt;12),C7*C5,IF(C4="No",C7*12,0)))))))</f>
        <v>38004.36</v>
      </c>
      <c r="W9">
        <f>IF(C7="","",IF(AND(C4="Yes",C6&lt;=1000000,C5&lt;=6,T12&lt;1),6,IF(AND(C4="Yes",C6&lt;=1000000,C5&lt;=6,T12&gt;=1),9,IF(AND(C4="Yes",C6&lt;=1000000,C5&gt;6,T12&lt;1),C5,IF(AND(C4="Yes",C6&lt;=1000000,C5&gt;6,C5&lt;=9,T12&gt;1),9,IF(AND(C4="Yes",C6&lt;=1000000,C5&gt;6,C5&lt;=9,T12&gt;=1),9,IF(AND(C4="Yes",C6&lt;=1000000,C5&gt;6,T12&lt;1),C5,IF(AND(C4="Yes",C6&lt;=1000000,C5&gt;9,T12&gt;=1),C5,IF(AND(C4="Yes",C6&lt;=1000000,C5&gt;9,T12&lt;1),C5,IF(AND(C4="Yes",C6&gt;1000000,C6&lt;=1500000,C5&lt;=9),9,IF(AND(C4="Yes",C6&gt;1000000,C6&lt;=1500000,C5&gt;9),C5,IF(AND(C4="Yes",C6&gt;1500000,C5&lt;=12),12,IF(AND(C4="Yes",C6&gt;1500000,C5&gt;12),C5,IF(C4="No",12,0))))))))))))))</f>
        <v>9</v>
      </c>
    </row>
    <row r="10" spans="1:23" ht="15" customHeight="1">
      <c r="A10" s="132"/>
      <c r="B10" s="76" t="s">
        <v>140</v>
      </c>
      <c r="C10" s="71">
        <v>4202</v>
      </c>
      <c r="D10" s="140"/>
      <c r="E10" s="134"/>
      <c r="F10" s="134"/>
      <c r="G10" s="134"/>
      <c r="H10" s="134"/>
      <c r="I10" s="89"/>
      <c r="J10" s="86">
        <f>IF(T27="","",T27 + T35)</f>
        <v>0</v>
      </c>
      <c r="K10" s="132"/>
      <c r="L10" s="11"/>
      <c r="M10" s="11"/>
      <c r="N10" s="11"/>
      <c r="O10" s="11"/>
      <c r="Q10" s="135"/>
      <c r="S10" s="61" t="s">
        <v>137</v>
      </c>
      <c r="T10" s="8">
        <f>IF(C7="","",C7*W9)</f>
        <v>57006.54</v>
      </c>
    </row>
    <row r="11" spans="1:23">
      <c r="A11" s="132"/>
      <c r="B11" s="76"/>
      <c r="C11" s="71"/>
      <c r="D11" s="140"/>
      <c r="E11" s="134"/>
      <c r="F11" s="134"/>
      <c r="G11" s="134"/>
      <c r="H11" s="134"/>
      <c r="I11" s="88"/>
      <c r="J11" s="85" t="s">
        <v>49</v>
      </c>
      <c r="K11" s="132"/>
      <c r="L11" s="11"/>
      <c r="M11" s="11"/>
      <c r="N11" s="11"/>
      <c r="O11" s="11"/>
      <c r="Q11" s="135"/>
      <c r="T11" t="s">
        <v>44</v>
      </c>
    </row>
    <row r="12" spans="1:23">
      <c r="A12" s="132"/>
      <c r="B12" s="76"/>
      <c r="C12" s="71"/>
      <c r="D12" s="140"/>
      <c r="E12" s="134"/>
      <c r="F12" s="134"/>
      <c r="G12" s="134"/>
      <c r="H12" s="134"/>
      <c r="I12" s="89"/>
      <c r="J12" s="87" t="str">
        <f>IF(J10=0,"",IF(J8="","",IF(J10&gt;=J8,"Yes",IF(J10&lt;J8,"No",""))))</f>
        <v/>
      </c>
      <c r="K12" s="132"/>
      <c r="L12" s="11"/>
      <c r="M12" s="11"/>
      <c r="N12" s="11"/>
      <c r="O12" s="11"/>
      <c r="Q12" s="135"/>
      <c r="T12">
        <f>COUNTA(B10:B28)</f>
        <v>1</v>
      </c>
    </row>
    <row r="13" spans="1:23">
      <c r="A13" s="132"/>
      <c r="B13" s="76"/>
      <c r="C13" s="71"/>
      <c r="D13" s="140"/>
      <c r="E13" s="134"/>
      <c r="F13" s="134"/>
      <c r="G13" s="134"/>
      <c r="H13" s="134"/>
      <c r="I13" s="132"/>
      <c r="J13" s="77"/>
      <c r="K13" s="132"/>
      <c r="L13" s="11"/>
      <c r="M13" s="11"/>
      <c r="N13" s="11"/>
      <c r="O13" s="11"/>
      <c r="Q13" s="135"/>
    </row>
    <row r="14" spans="1:23">
      <c r="A14" s="132"/>
      <c r="B14" s="76"/>
      <c r="C14" s="71"/>
      <c r="D14" s="140"/>
      <c r="E14" s="134"/>
      <c r="F14" s="134"/>
      <c r="G14" s="134"/>
      <c r="H14" s="134"/>
      <c r="I14" s="132"/>
      <c r="J14" s="75" t="s">
        <v>99</v>
      </c>
      <c r="K14" s="132"/>
      <c r="L14" s="11"/>
      <c r="M14" s="11"/>
      <c r="N14" s="11"/>
      <c r="O14" s="11"/>
      <c r="Q14" s="135"/>
      <c r="T14" t="s">
        <v>111</v>
      </c>
      <c r="W14" s="62" t="s">
        <v>112</v>
      </c>
    </row>
    <row r="15" spans="1:23">
      <c r="A15" s="132"/>
      <c r="B15" s="76"/>
      <c r="C15" s="71"/>
      <c r="D15" s="140"/>
      <c r="E15" s="134"/>
      <c r="F15" s="134"/>
      <c r="G15" s="134"/>
      <c r="H15" s="134"/>
      <c r="I15" s="132"/>
      <c r="J15" s="78">
        <f>T27</f>
        <v>0</v>
      </c>
      <c r="K15" s="132"/>
      <c r="L15" s="11"/>
      <c r="M15" s="11"/>
      <c r="N15" s="11"/>
      <c r="O15" s="11"/>
      <c r="Q15" s="135"/>
      <c r="T15" s="8">
        <f>SUM(C10:C28)</f>
        <v>4202</v>
      </c>
      <c r="W15" s="8">
        <f>T15*2</f>
        <v>8404</v>
      </c>
    </row>
    <row r="16" spans="1:23">
      <c r="A16" s="132"/>
      <c r="B16" s="76"/>
      <c r="C16" s="71"/>
      <c r="D16" s="140"/>
      <c r="E16" s="134"/>
      <c r="F16" s="134"/>
      <c r="G16" s="134"/>
      <c r="H16" s="134"/>
      <c r="I16" s="132"/>
      <c r="J16" s="79"/>
      <c r="K16" s="132"/>
      <c r="L16" s="11"/>
      <c r="M16" s="11"/>
      <c r="N16" s="11"/>
      <c r="O16" s="11"/>
      <c r="Q16" s="135"/>
    </row>
    <row r="17" spans="1:26">
      <c r="A17" s="132"/>
      <c r="B17" s="76"/>
      <c r="C17" s="71"/>
      <c r="D17" s="140"/>
      <c r="E17" s="134"/>
      <c r="F17" s="134"/>
      <c r="G17" s="134"/>
      <c r="H17" s="134"/>
      <c r="I17" s="132"/>
      <c r="J17" s="75" t="s">
        <v>132</v>
      </c>
      <c r="K17" s="132"/>
      <c r="L17" s="11"/>
      <c r="M17" s="11"/>
      <c r="N17" s="11"/>
      <c r="O17" s="11"/>
      <c r="Q17" s="135"/>
      <c r="T17" t="s">
        <v>43</v>
      </c>
    </row>
    <row r="18" spans="1:26">
      <c r="A18" s="132"/>
      <c r="B18" s="76"/>
      <c r="C18" s="71"/>
      <c r="D18" s="140"/>
      <c r="E18" s="134"/>
      <c r="F18" s="134"/>
      <c r="G18" s="134"/>
      <c r="H18" s="134"/>
      <c r="I18" s="132"/>
      <c r="J18" s="80">
        <f>W9</f>
        <v>9</v>
      </c>
      <c r="K18" s="132"/>
      <c r="L18" s="11"/>
      <c r="M18" s="11"/>
      <c r="N18" s="11"/>
      <c r="O18" s="11"/>
      <c r="Q18" s="135"/>
      <c r="T18" t="s">
        <v>118</v>
      </c>
    </row>
    <row r="19" spans="1:26">
      <c r="A19" s="132"/>
      <c r="B19" s="76"/>
      <c r="C19" s="71"/>
      <c r="D19" s="140"/>
      <c r="E19" s="134"/>
      <c r="F19" s="134"/>
      <c r="G19" s="134"/>
      <c r="H19" s="134"/>
      <c r="I19" s="132"/>
      <c r="J19" s="79"/>
      <c r="K19" s="132"/>
      <c r="L19" s="11"/>
      <c r="M19" s="11"/>
      <c r="N19" s="11"/>
      <c r="O19" s="11"/>
      <c r="Q19" s="135"/>
      <c r="T19" t="s">
        <v>125</v>
      </c>
    </row>
    <row r="20" spans="1:26">
      <c r="A20" s="132"/>
      <c r="B20" s="76"/>
      <c r="C20" s="71"/>
      <c r="D20" s="140"/>
      <c r="E20" s="134"/>
      <c r="F20" s="134"/>
      <c r="G20" s="134"/>
      <c r="H20" s="134"/>
      <c r="I20" s="132"/>
      <c r="J20" s="9" t="s">
        <v>136</v>
      </c>
      <c r="K20" s="132"/>
      <c r="L20" s="11"/>
      <c r="M20" s="11"/>
      <c r="N20" s="11"/>
      <c r="O20" s="11"/>
      <c r="Q20" s="135"/>
    </row>
    <row r="21" spans="1:26">
      <c r="A21" s="132"/>
      <c r="B21" s="76"/>
      <c r="C21" s="71"/>
      <c r="D21" s="140"/>
      <c r="E21" s="134"/>
      <c r="F21" s="134"/>
      <c r="G21" s="134"/>
      <c r="H21" s="134"/>
      <c r="I21" s="132"/>
      <c r="J21" s="13">
        <f>T10</f>
        <v>57006.54</v>
      </c>
      <c r="K21" s="132"/>
      <c r="L21" s="11"/>
      <c r="M21" s="11"/>
      <c r="N21" s="11"/>
      <c r="O21" s="11"/>
      <c r="Q21" s="135"/>
    </row>
    <row r="22" spans="1:26">
      <c r="A22" s="132"/>
      <c r="B22" s="76"/>
      <c r="C22" s="71"/>
      <c r="D22" s="140"/>
      <c r="E22" s="134"/>
      <c r="F22" s="134"/>
      <c r="G22" s="134"/>
      <c r="H22" s="134"/>
      <c r="I22" s="132"/>
      <c r="J22" s="9" t="s">
        <v>135</v>
      </c>
      <c r="K22" s="132"/>
      <c r="L22" s="11"/>
      <c r="M22" s="11"/>
      <c r="N22" s="11"/>
      <c r="O22" s="11"/>
      <c r="Q22" s="135"/>
    </row>
    <row r="23" spans="1:26">
      <c r="A23" s="132"/>
      <c r="B23" s="76"/>
      <c r="C23" s="71"/>
      <c r="D23" s="140"/>
      <c r="E23" s="134"/>
      <c r="F23" s="134"/>
      <c r="G23" s="134"/>
      <c r="H23" s="134"/>
      <c r="I23" s="132"/>
      <c r="J23" s="13">
        <f>W15</f>
        <v>8404</v>
      </c>
      <c r="K23" s="132"/>
      <c r="L23" s="11"/>
      <c r="M23" s="11"/>
      <c r="N23" s="11"/>
      <c r="O23" s="11"/>
      <c r="Q23" s="135"/>
      <c r="T23" s="61" t="s">
        <v>113</v>
      </c>
    </row>
    <row r="24" spans="1:26">
      <c r="A24" s="132"/>
      <c r="B24" s="76"/>
      <c r="C24" s="71"/>
      <c r="D24" s="140"/>
      <c r="E24" s="134"/>
      <c r="F24" s="134"/>
      <c r="G24" s="134"/>
      <c r="H24" s="134"/>
      <c r="I24" s="132"/>
      <c r="J24" s="79"/>
      <c r="K24" s="132"/>
      <c r="L24" s="11"/>
      <c r="M24" s="11"/>
      <c r="N24" s="11"/>
      <c r="O24" s="11"/>
      <c r="Q24" s="135"/>
      <c r="T24" s="8">
        <f>IF(T12 &lt;= 1,T15*2,T15*9)</f>
        <v>8404</v>
      </c>
    </row>
    <row r="25" spans="1:26">
      <c r="A25" s="132"/>
      <c r="B25" s="76"/>
      <c r="C25" s="71"/>
      <c r="D25" s="140"/>
      <c r="E25" s="134"/>
      <c r="F25" s="134"/>
      <c r="G25" s="134"/>
      <c r="H25" s="134"/>
      <c r="I25" s="132"/>
      <c r="J25" s="79"/>
      <c r="K25" s="132"/>
      <c r="L25" s="11"/>
      <c r="M25" s="11"/>
      <c r="N25" s="11"/>
      <c r="O25" s="11"/>
      <c r="Q25" s="135"/>
    </row>
    <row r="26" spans="1:26">
      <c r="A26" s="132"/>
      <c r="B26" s="76"/>
      <c r="C26" s="71"/>
      <c r="D26" s="140"/>
      <c r="E26" s="134"/>
      <c r="F26" s="134"/>
      <c r="G26" s="134"/>
      <c r="H26" s="134"/>
      <c r="I26" s="132"/>
      <c r="J26" s="79"/>
      <c r="K26" s="132"/>
      <c r="L26" s="11"/>
      <c r="M26" s="11"/>
      <c r="N26" s="11"/>
      <c r="O26" s="11"/>
      <c r="Q26" s="135"/>
      <c r="T26" t="s">
        <v>67</v>
      </c>
    </row>
    <row r="27" spans="1:26">
      <c r="A27" s="132"/>
      <c r="B27" s="76"/>
      <c r="C27" s="71"/>
      <c r="D27" s="140"/>
      <c r="E27" s="134"/>
      <c r="F27" s="134"/>
      <c r="G27" s="134"/>
      <c r="H27" s="134"/>
      <c r="I27" s="132"/>
      <c r="J27" s="79"/>
      <c r="K27" s="132"/>
      <c r="L27" s="11"/>
      <c r="M27" s="11"/>
      <c r="N27" s="11"/>
      <c r="O27" s="11"/>
      <c r="Q27" s="135"/>
      <c r="T27">
        <f>IF(Z36="","",Y33 + Z36)</f>
        <v>0</v>
      </c>
    </row>
    <row r="28" spans="1:26">
      <c r="A28" s="132"/>
      <c r="B28" s="76"/>
      <c r="C28" s="71"/>
      <c r="D28" s="140"/>
      <c r="E28" s="134"/>
      <c r="F28" s="134"/>
      <c r="G28" s="134"/>
      <c r="H28" s="134"/>
      <c r="I28" s="81"/>
      <c r="J28" s="79"/>
      <c r="K28" s="132"/>
      <c r="L28" s="11"/>
      <c r="M28" s="11"/>
      <c r="N28" s="11"/>
      <c r="O28" s="11"/>
      <c r="Q28" s="135"/>
    </row>
    <row r="29" spans="1:26" ht="15" customHeight="1">
      <c r="A29" s="134" t="s">
        <v>108</v>
      </c>
      <c r="B29" s="134"/>
      <c r="C29" s="134"/>
      <c r="D29" s="134"/>
      <c r="E29" s="134"/>
      <c r="F29" s="134"/>
      <c r="G29" s="134"/>
      <c r="H29" s="134"/>
      <c r="I29" s="134"/>
      <c r="J29" s="134"/>
      <c r="K29" s="134"/>
      <c r="L29" s="14"/>
      <c r="M29" s="14"/>
      <c r="N29" s="14"/>
      <c r="O29" s="14"/>
      <c r="Q29" s="135"/>
    </row>
    <row r="30" spans="1:26" ht="15" customHeight="1">
      <c r="A30" s="134"/>
      <c r="B30" s="134"/>
      <c r="C30" s="134"/>
      <c r="D30" s="134"/>
      <c r="E30" s="134"/>
      <c r="F30" s="134"/>
      <c r="G30" s="134"/>
      <c r="H30" s="134"/>
      <c r="I30" s="134"/>
      <c r="J30" s="134"/>
      <c r="K30" s="134"/>
      <c r="L30" s="14"/>
      <c r="M30" s="14"/>
      <c r="N30" s="14"/>
      <c r="O30" s="14"/>
      <c r="Q30" s="135"/>
    </row>
    <row r="31" spans="1:26" ht="15" customHeight="1">
      <c r="A31" s="134"/>
      <c r="B31" s="134"/>
      <c r="C31" s="134"/>
      <c r="D31" s="134"/>
      <c r="E31" s="134"/>
      <c r="F31" s="134"/>
      <c r="G31" s="134"/>
      <c r="H31" s="134"/>
      <c r="I31" s="134"/>
      <c r="J31" s="134"/>
      <c r="K31" s="134"/>
      <c r="L31" s="14"/>
      <c r="M31" s="14"/>
      <c r="N31" s="14"/>
      <c r="O31" s="14"/>
      <c r="Q31" s="135"/>
      <c r="R31" t="s">
        <v>60</v>
      </c>
      <c r="T31" t="s">
        <v>61</v>
      </c>
      <c r="Y31" s="61"/>
    </row>
    <row r="32" spans="1:26" ht="18.75" customHeight="1">
      <c r="A32" s="132"/>
      <c r="B32" s="75" t="s">
        <v>56</v>
      </c>
      <c r="C32" s="75" t="s">
        <v>58</v>
      </c>
      <c r="D32" s="75" t="s">
        <v>59</v>
      </c>
      <c r="E32" s="136"/>
      <c r="F32" s="137"/>
      <c r="G32" s="137"/>
      <c r="H32" s="137"/>
      <c r="I32" s="75" t="s">
        <v>63</v>
      </c>
      <c r="J32" s="75" t="s">
        <v>62</v>
      </c>
      <c r="K32" s="132"/>
      <c r="L32" s="11"/>
      <c r="M32" s="11"/>
      <c r="N32" s="11"/>
      <c r="O32" s="11"/>
      <c r="Q32" s="135"/>
      <c r="T32" s="8">
        <f>J8/2</f>
        <v>32705.27</v>
      </c>
      <c r="Y32" s="62" t="s">
        <v>115</v>
      </c>
      <c r="Z32" s="62" t="s">
        <v>116</v>
      </c>
    </row>
    <row r="33" spans="1:26">
      <c r="A33" s="132"/>
      <c r="B33" s="76" t="s">
        <v>50</v>
      </c>
      <c r="C33" s="82"/>
      <c r="D33" s="83">
        <f>R33</f>
        <v>0</v>
      </c>
      <c r="E33" s="136"/>
      <c r="F33" s="137"/>
      <c r="G33" s="137"/>
      <c r="H33" s="137"/>
      <c r="I33" s="84" t="s">
        <v>64</v>
      </c>
      <c r="J33" s="82"/>
      <c r="K33" s="132"/>
      <c r="L33" s="11"/>
      <c r="M33" s="11"/>
      <c r="N33" s="11"/>
      <c r="O33" s="11"/>
      <c r="Q33" s="135"/>
      <c r="R33">
        <f>IF(B33 = "Stocks, Bonds &amp; Mutual Funds",C33*0.7,IF(B33 = "Retirement accounts (401k, TSP, etc)",C33*0.6,0))</f>
        <v>0</v>
      </c>
      <c r="Y33">
        <f>IF(AND(B33 = "Stocks, Bonds &amp; Mutual Funds", B34 = "Stocks, Bonds &amp; Mutual Funds", B35 = "Stocks, Bonds &amp; Mutual Funds", B36 = "Stocks, Bonds &amp; Mutual Funds"), D33+D34+D35+D36,IF(AND(B33 = "Stocks, Bonds &amp; Mutual Funds", B34 = "Stocks, Bonds &amp; Mutual Funds", B35 = "Stocks, Bonds &amp; Mutual Funds"),D33+D34+D35,IF(AND(B33 = "Stocks, Bonds &amp; Mutual Funds", B34 = "Stocks, Bonds &amp; Mutual Funds", B36 = "Stocks, Bonds &amp; Mutual Funds"),D33+D34+D36,IF(AND(B33 = "Stocks, Bonds &amp; Mutual Funds", B35 = "Stocks, Bonds &amp; Mutual Funds", B36 = "Stocks, Bonds &amp; Mutual Funds"),D33+D35+D36,IF(AND(B34 = "Stocks, Bonds &amp; Mutual Funds", B35 = "Stocks, Bonds &amp; Mutual Funds", B36 = "Stocks, Bonds &amp; Mutual Funds"),D34+D35+D36,IF(AND(B33 = "Stocks, Bonds &amp; Mutual Funds",B34 = "Stocks, Bonds &amp; Mutual Funds"),D33+D34,IF(AND(B33 = "Stocks, Bonds &amp; Mutual Funds",B35 = "Stocks, Bonds &amp; Mutual Funds"),D33+D35,IF(AND(B33 = "Stocks, Bonds &amp; Mutual Funds",B36 = "Stocks, Bonds &amp; Mutual Funds"),D33+D36,IF(AND(B34 = "Stocks, Bonds &amp; Mutual Funds",B35 = "Stocks, Bonds &amp; Mutual Funds"),D34+D35,IF(AND(B34 = "Stocks, Bonds &amp; Mutual Funds",B36 = "Stocks, Bonds &amp; Mutual Funds"),D34+D36,IF(AND(B35 = "Stocks, Bonds &amp; Mutual Funds",B36 = "Stocks, Bonds &amp; Mutual Funds"),D35+D36,IF(B33 = "Stocks, Bonds &amp; Mutual Funds",D33,IF(B34 = "Stocks, Bonds &amp; Mutual Funds",D34,IF(B35 = "Stocks, Bonds &amp; Mutual Funds",D35,IF(B36 = "Stocks, Bonds &amp; Mutual Funds",D36,0)))))))))))))))</f>
        <v>0</v>
      </c>
      <c r="Z33">
        <f>IF(AND(B33 = "Retirement accounts (401k, TSP, etc)", B34 = "Retirement accounts (401k, TSP, etc)", B35 = "Retirement accounts (401k, TSP, etc)", B36 = "Retirement accounts (401k, TSP, etc)"), D33+D34+D35+D36,IF(AND(B33 = "Retirement accounts (401k, TSP, etc)", B34 = "Retirement accounts (401k, TSP, etc)", B35 = "Retirement accounts (401k, TSP, etc)"),D33+D34+D35,IF(AND(B33 = "Retirement accounts (401k, TSP, etc)", B34 = "Retirement accounts (401k, TSP, etc)", B36 = "Retirement accounts (401k, TSP, etc)"),D33+D34+D36,IF(AND(B33 = "Retirement accounts (401k, TSP, etc)", B35 = "Retirement accounts (401k, TSP, etc)", B36 = "Retirement accounts (401k, TSP, etc)"),D33+D35+D36,IF(AND(B34 = "Retirement accounts (401k, TSP, etc)", B35 = "Retirement accounts (401k, TSP, etc)", B36 = "Retirement accounts (401k, TSP, etc)"),D34+D35+D36,IF(AND(B33 = "Retirement accounts (401k, TSP, etc)",B34 = "Retirement accounts (401k, TSP, etc)"),D33+D34,IF(AND(B33 = "Retirement accounts (401k, TSP, etc)",B35 = "Retirement accounts (401k, TSP, etc)"),D33+D35,IF(AND(B33 = "Retirement accounts (401k, TSP, etc)",B36 = "Retirement accounts (401k, TSP, etc)"),D33+D36,IF(AND(B34 = "Retirement accounts (401k, TSP, etc)",B35 = "Retirement accounts (401k, TSP, etc)"),D34+D35,IF(AND(B34 = "Retirement accounts (401k, TSP, etc)",B36 = "Retirement accounts (401k, TSP, etc)"),D34+D36,IF(AND(B35 = "Retirement accounts (401k, TSP, etc)",B36 = "Retirement accounts (401k, TSP, etc)"),D35+D36,IF(B33 = "Retirement accounts (401k, TSP, etc)",D33,IF(B34 = "Retirement accounts (401k, TSP, etc)",D34,IF(B35 = "Retirement accounts (401k, TSP, etc)",D35,IF(B36 = "Retirement accounts (401k, TSP, etc)",D36,0)))))))))))))))</f>
        <v>0</v>
      </c>
    </row>
    <row r="34" spans="1:26">
      <c r="A34" s="132"/>
      <c r="B34" s="76" t="s">
        <v>53</v>
      </c>
      <c r="C34" s="82"/>
      <c r="D34" s="83">
        <f t="shared" ref="D34:D36" si="0">R34</f>
        <v>0</v>
      </c>
      <c r="E34" s="136"/>
      <c r="F34" s="137"/>
      <c r="G34" s="137"/>
      <c r="H34" s="137"/>
      <c r="I34" s="84" t="s">
        <v>65</v>
      </c>
      <c r="J34" s="82"/>
      <c r="K34" s="132"/>
      <c r="L34" s="11"/>
      <c r="M34" s="11"/>
      <c r="N34" s="11"/>
      <c r="O34" s="11"/>
      <c r="Q34" s="135"/>
      <c r="R34">
        <f>IF(B34 = "Stocks, Bonds &amp; Mutual Funds",C34*0.7,IF(B34 = "Retirement accounts (401k, TSP, etc)",C34*0.6,0))</f>
        <v>0</v>
      </c>
      <c r="T34" t="s">
        <v>66</v>
      </c>
      <c r="X34" s="62" t="s">
        <v>114</v>
      </c>
    </row>
    <row r="35" spans="1:26">
      <c r="A35" s="132"/>
      <c r="B35" s="76" t="s">
        <v>54</v>
      </c>
      <c r="C35" s="82"/>
      <c r="D35" s="83">
        <f>R35</f>
        <v>0</v>
      </c>
      <c r="E35" s="136"/>
      <c r="F35" s="137"/>
      <c r="G35" s="137"/>
      <c r="H35" s="137"/>
      <c r="I35" s="138"/>
      <c r="J35" s="138"/>
      <c r="K35" s="132"/>
      <c r="L35" s="11"/>
      <c r="M35" s="11"/>
      <c r="N35" s="11"/>
      <c r="O35" s="11"/>
      <c r="Q35" s="135"/>
      <c r="R35">
        <f>IF(B35 = "Stocks, Bonds &amp; Mutual Funds",C35*0.7,IF(B35 = "Retirement accounts (401k, TSP, etc)",C35*0.6,0))</f>
        <v>0</v>
      </c>
      <c r="T35" s="8">
        <f>J33-J34</f>
        <v>0</v>
      </c>
      <c r="X35" s="63" t="b">
        <v>0</v>
      </c>
      <c r="Z35" s="62" t="s">
        <v>117</v>
      </c>
    </row>
    <row r="36" spans="1:26">
      <c r="A36" s="132"/>
      <c r="B36" s="76" t="s">
        <v>55</v>
      </c>
      <c r="C36" s="82"/>
      <c r="D36" s="83">
        <f t="shared" si="0"/>
        <v>0</v>
      </c>
      <c r="E36" s="136"/>
      <c r="F36" s="137"/>
      <c r="G36" s="137"/>
      <c r="H36" s="137"/>
      <c r="I36" s="137"/>
      <c r="J36" s="137"/>
      <c r="K36" s="132"/>
      <c r="L36" s="11"/>
      <c r="M36" s="11"/>
      <c r="N36" s="11"/>
      <c r="O36" s="11"/>
      <c r="Q36" s="135"/>
      <c r="R36">
        <f>IF(B36 = "Stocks, Bonds &amp; Mutual Funds",C36*0.7,IF(B36 = "Retirement accounts (401k, TSP, etc)",C36*0.6,0))</f>
        <v>0</v>
      </c>
      <c r="Z36">
        <f>IF(J8="","",IF(X35 = TRUE,Z33,IF(AND(X35 = FALSE, Z33 &lt; (J8/2)),Z33,IF(AND(X35 = FALSE, Z33 &gt; (J8/2)),J8/2,0))))</f>
        <v>0</v>
      </c>
    </row>
    <row r="37" spans="1:26">
      <c r="A37" s="132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1"/>
      <c r="M37" s="11"/>
      <c r="N37" s="11"/>
      <c r="O37" s="11"/>
      <c r="Q37" s="135"/>
      <c r="R37">
        <f>SUM(R33:R36)</f>
        <v>0</v>
      </c>
    </row>
    <row r="38" spans="1:26">
      <c r="A38" s="132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1"/>
      <c r="M38" s="11"/>
      <c r="N38" s="11"/>
      <c r="O38" s="11"/>
      <c r="Q38" s="135"/>
      <c r="X38" s="61"/>
    </row>
    <row r="39" spans="1:26">
      <c r="A39" s="132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1"/>
      <c r="M39" s="11"/>
      <c r="N39" s="11"/>
      <c r="O39" s="11"/>
      <c r="Q39" s="135"/>
      <c r="X39" s="61"/>
    </row>
    <row r="49" customFormat="1" hidden="1"/>
    <row r="50" customFormat="1" hidden="1"/>
  </sheetData>
  <sheetProtection sheet="1" formatRows="0" selectLockedCells="1"/>
  <mergeCells count="13">
    <mergeCell ref="I13:I27"/>
    <mergeCell ref="A1:K3"/>
    <mergeCell ref="A29:K31"/>
    <mergeCell ref="Q1:Q39"/>
    <mergeCell ref="E32:H36"/>
    <mergeCell ref="I35:J36"/>
    <mergeCell ref="K32:K36"/>
    <mergeCell ref="A32:A39"/>
    <mergeCell ref="B37:K39"/>
    <mergeCell ref="K7:K28"/>
    <mergeCell ref="A7:A28"/>
    <mergeCell ref="B8:C8"/>
    <mergeCell ref="D9:H28"/>
  </mergeCells>
  <conditionalFormatting sqref="J12">
    <cfRule type="expression" dxfId="9" priority="5">
      <formula xml:space="preserve"> J12="No"</formula>
    </cfRule>
    <cfRule type="expression" dxfId="8" priority="6">
      <formula xml:space="preserve"> J12="Yes"</formula>
    </cfRule>
  </conditionalFormatting>
  <conditionalFormatting sqref="I12">
    <cfRule type="expression" dxfId="7" priority="3">
      <formula xml:space="preserve"> I12="No"</formula>
    </cfRule>
    <cfRule type="expression" dxfId="6" priority="4">
      <formula xml:space="preserve"> I12="Yes"</formula>
    </cfRule>
  </conditionalFormatting>
  <conditionalFormatting sqref="J23">
    <cfRule type="expression" dxfId="5" priority="1">
      <formula xml:space="preserve"> J23="No"</formula>
    </cfRule>
    <cfRule type="expression" dxfId="4" priority="2">
      <formula xml:space="preserve"> J23="Yes"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171450</xdr:colOff>
                    <xdr:row>12</xdr:row>
                    <xdr:rowOff>66675</xdr:rowOff>
                  </from>
                  <to>
                    <xdr:col>8</xdr:col>
                    <xdr:colOff>323850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Check Box 3">
              <controlPr defaultSize="0" autoFill="0" autoLine="0" autoPict="0">
                <anchor moveWithCells="1">
                  <from>
                    <xdr:col>4</xdr:col>
                    <xdr:colOff>57150</xdr:colOff>
                    <xdr:row>30</xdr:row>
                    <xdr:rowOff>161925</xdr:rowOff>
                  </from>
                  <to>
                    <xdr:col>7</xdr:col>
                    <xdr:colOff>171450</xdr:colOff>
                    <xdr:row>32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300-000000000000}">
          <x14:formula1>
            <xm:f>Lists!$B$2:$B$4</xm:f>
          </x14:formula1>
          <xm:sqref>B33</xm:sqref>
        </x14:dataValidation>
        <x14:dataValidation type="list" allowBlank="1" showInputMessage="1" showErrorMessage="1" xr:uid="{00000000-0002-0000-0300-000001000000}">
          <x14:formula1>
            <xm:f>Lists!$C$2:$C$4</xm:f>
          </x14:formula1>
          <xm:sqref>B34</xm:sqref>
        </x14:dataValidation>
        <x14:dataValidation type="list" allowBlank="1" showInputMessage="1" showErrorMessage="1" xr:uid="{00000000-0002-0000-0300-000002000000}">
          <x14:formula1>
            <xm:f>Lists!$D$2:$D$4</xm:f>
          </x14:formula1>
          <xm:sqref>B35</xm:sqref>
        </x14:dataValidation>
        <x14:dataValidation type="list" allowBlank="1" showInputMessage="1" showErrorMessage="1" xr:uid="{00000000-0002-0000-0300-000003000000}">
          <x14:formula1>
            <xm:f>Lists!$E$2:$E$4</xm:f>
          </x14:formula1>
          <xm:sqref>B36</xm:sqref>
        </x14:dataValidation>
        <x14:dataValidation type="list" showInputMessage="1" showErrorMessage="1" xr:uid="{19EE0A42-0EC2-4242-8A25-83D50FE58F2E}">
          <x14:formula1>
            <xm:f>Lists!$I$3:$I$5</xm:f>
          </x14:formula1>
          <xm:sqref>C4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22835-267E-4DA6-BAD3-08E10E3D6E27}">
  <sheetPr codeName="Sheet7"/>
  <dimension ref="A1:O101"/>
  <sheetViews>
    <sheetView topLeftCell="A4" workbookViewId="0">
      <selection activeCell="G12" sqref="G12:H13"/>
    </sheetView>
  </sheetViews>
  <sheetFormatPr defaultColWidth="0" defaultRowHeight="15" zeroHeight="1"/>
  <cols>
    <col min="1" max="10" width="9.140625" customWidth="1"/>
    <col min="11" max="16384" width="9.140625" hidden="1"/>
  </cols>
  <sheetData>
    <row r="1" spans="1:15" hidden="1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</row>
    <row r="2" spans="1:15" hidden="1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</row>
    <row r="3" spans="1:15" ht="15" hidden="1" customHeight="1">
      <c r="A3" s="55"/>
      <c r="B3" s="55"/>
      <c r="C3" s="55"/>
      <c r="D3" s="65"/>
      <c r="E3" s="65"/>
      <c r="F3" s="65"/>
      <c r="G3" s="65"/>
      <c r="H3" s="65"/>
      <c r="I3" s="65"/>
      <c r="J3" s="65"/>
      <c r="K3" s="65"/>
      <c r="L3" s="65"/>
      <c r="M3" s="65"/>
      <c r="N3" s="55"/>
      <c r="O3" s="55"/>
    </row>
    <row r="4" spans="1:15" ht="15" customHeight="1">
      <c r="A4" s="55"/>
      <c r="B4" s="55"/>
      <c r="C4" s="152" t="s">
        <v>119</v>
      </c>
      <c r="D4" s="152"/>
      <c r="E4" s="152"/>
      <c r="F4" s="152"/>
      <c r="G4" s="152"/>
      <c r="H4" s="152"/>
      <c r="I4" s="65"/>
      <c r="J4" s="65"/>
      <c r="K4" s="65"/>
      <c r="L4" s="65"/>
      <c r="M4" s="65"/>
      <c r="N4" s="55"/>
      <c r="O4" s="55"/>
    </row>
    <row r="5" spans="1:15" ht="15" customHeight="1">
      <c r="A5" s="55"/>
      <c r="B5" s="55"/>
      <c r="C5" s="152"/>
      <c r="D5" s="152"/>
      <c r="E5" s="152"/>
      <c r="F5" s="152"/>
      <c r="G5" s="152"/>
      <c r="H5" s="152"/>
      <c r="I5" s="65"/>
      <c r="J5" s="65"/>
      <c r="K5" s="65"/>
      <c r="L5" s="65"/>
      <c r="M5" s="65"/>
      <c r="N5" s="55"/>
      <c r="O5" s="55"/>
    </row>
    <row r="6" spans="1:15">
      <c r="A6" s="55"/>
      <c r="B6" s="55"/>
      <c r="C6" s="152"/>
      <c r="D6" s="152"/>
      <c r="E6" s="152"/>
      <c r="F6" s="152"/>
      <c r="G6" s="152"/>
      <c r="H6" s="152"/>
      <c r="I6" s="55"/>
      <c r="J6" s="55"/>
      <c r="K6" s="55"/>
      <c r="L6" s="55"/>
      <c r="M6" s="55"/>
      <c r="N6" s="55"/>
      <c r="O6" s="55"/>
    </row>
    <row r="7" spans="1:15">
      <c r="A7" s="55"/>
      <c r="B7" s="55"/>
      <c r="C7" s="152"/>
      <c r="D7" s="152"/>
      <c r="E7" s="152"/>
      <c r="F7" s="152"/>
      <c r="G7" s="152"/>
      <c r="H7" s="152"/>
      <c r="I7" s="55"/>
      <c r="J7" s="55"/>
      <c r="K7" s="55"/>
      <c r="L7" s="55"/>
      <c r="M7" s="55"/>
      <c r="N7" s="55"/>
      <c r="O7" s="55"/>
    </row>
    <row r="8" spans="1:15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</row>
    <row r="9" spans="1:15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</row>
    <row r="10" spans="1:15">
      <c r="A10" s="55"/>
      <c r="B10" s="55"/>
      <c r="C10" s="141" t="s">
        <v>120</v>
      </c>
      <c r="D10" s="142"/>
      <c r="E10" s="142"/>
      <c r="F10" s="143"/>
      <c r="G10" s="153"/>
      <c r="H10" s="154"/>
      <c r="I10" s="55"/>
      <c r="J10" s="55"/>
      <c r="K10" s="55"/>
      <c r="L10" s="55"/>
      <c r="M10" s="55"/>
      <c r="N10" s="55"/>
      <c r="O10" s="55"/>
    </row>
    <row r="11" spans="1:15">
      <c r="A11" s="55"/>
      <c r="B11" s="55"/>
      <c r="C11" s="144"/>
      <c r="D11" s="145"/>
      <c r="E11" s="145"/>
      <c r="F11" s="146"/>
      <c r="G11" s="155"/>
      <c r="H11" s="156"/>
      <c r="I11" s="55"/>
      <c r="J11" s="55"/>
      <c r="K11" s="55"/>
      <c r="L11" s="55"/>
      <c r="M11" s="55"/>
      <c r="N11" s="55"/>
      <c r="O11" s="55"/>
    </row>
    <row r="12" spans="1:15" ht="16.5" customHeight="1">
      <c r="A12" s="55"/>
      <c r="B12" s="55"/>
      <c r="C12" s="141" t="s">
        <v>121</v>
      </c>
      <c r="D12" s="142"/>
      <c r="E12" s="142"/>
      <c r="F12" s="143"/>
      <c r="G12" s="157"/>
      <c r="H12" s="158"/>
      <c r="I12" s="55"/>
      <c r="J12" s="55"/>
      <c r="K12" s="55"/>
      <c r="L12" s="55"/>
      <c r="M12" s="55"/>
      <c r="N12" s="55"/>
      <c r="O12" s="55"/>
    </row>
    <row r="13" spans="1:15" ht="16.5" customHeight="1">
      <c r="A13" s="55"/>
      <c r="B13" s="55"/>
      <c r="C13" s="144"/>
      <c r="D13" s="145"/>
      <c r="E13" s="145"/>
      <c r="F13" s="146"/>
      <c r="G13" s="159"/>
      <c r="H13" s="160"/>
      <c r="I13" s="55"/>
      <c r="J13" s="55"/>
      <c r="K13" s="55"/>
      <c r="L13" s="55"/>
      <c r="M13" s="55"/>
      <c r="N13" s="55"/>
      <c r="O13" s="55"/>
    </row>
    <row r="14" spans="1:15">
      <c r="A14" s="55"/>
      <c r="B14" s="55"/>
      <c r="C14" s="66"/>
      <c r="D14" s="66"/>
      <c r="E14" s="66"/>
      <c r="F14" s="66"/>
      <c r="G14" s="66"/>
      <c r="H14" s="66"/>
      <c r="I14" s="55"/>
      <c r="J14" s="55"/>
      <c r="K14" s="55"/>
      <c r="L14" s="55"/>
      <c r="M14" s="55"/>
      <c r="N14" s="55"/>
      <c r="O14" s="55"/>
    </row>
    <row r="15" spans="1:15">
      <c r="A15" s="55"/>
      <c r="B15" s="55"/>
      <c r="C15" s="66"/>
      <c r="D15" s="66"/>
      <c r="E15" s="66"/>
      <c r="F15" s="66"/>
      <c r="G15" s="66"/>
      <c r="H15" s="66"/>
      <c r="I15" s="55"/>
      <c r="J15" s="55"/>
      <c r="K15" s="55"/>
      <c r="L15" s="55"/>
      <c r="M15" s="55"/>
      <c r="N15" s="55"/>
      <c r="O15" s="55"/>
    </row>
    <row r="16" spans="1:15" ht="16.5" customHeight="1">
      <c r="A16" s="55"/>
      <c r="B16" s="55"/>
      <c r="C16" s="141" t="s">
        <v>122</v>
      </c>
      <c r="D16" s="142"/>
      <c r="E16" s="142"/>
      <c r="F16" s="143"/>
      <c r="G16" s="147">
        <f>G10*G12</f>
        <v>0</v>
      </c>
      <c r="H16" s="148"/>
      <c r="I16" s="55"/>
      <c r="J16" s="55"/>
      <c r="K16" s="55"/>
      <c r="L16" s="55"/>
      <c r="M16" s="55"/>
      <c r="N16" s="55"/>
      <c r="O16" s="55"/>
    </row>
    <row r="17" spans="1:15" ht="16.5" customHeight="1">
      <c r="A17" s="55"/>
      <c r="B17" s="55"/>
      <c r="C17" s="144"/>
      <c r="D17" s="145"/>
      <c r="E17" s="145"/>
      <c r="F17" s="146"/>
      <c r="G17" s="149"/>
      <c r="H17" s="150"/>
      <c r="I17" s="55"/>
      <c r="J17" s="55"/>
      <c r="K17" s="55"/>
      <c r="L17" s="55"/>
      <c r="M17" s="55"/>
      <c r="N17" s="55"/>
      <c r="O17" s="55"/>
    </row>
    <row r="18" spans="1:15">
      <c r="A18" s="55"/>
      <c r="B18" s="55"/>
      <c r="C18" s="66"/>
      <c r="D18" s="66"/>
      <c r="E18" s="66"/>
      <c r="F18" s="66"/>
      <c r="G18" s="66"/>
      <c r="H18" s="66"/>
      <c r="I18" s="55"/>
      <c r="J18" s="55"/>
      <c r="K18" s="55"/>
      <c r="L18" s="55"/>
      <c r="M18" s="55"/>
      <c r="N18" s="55"/>
      <c r="O18" s="55"/>
    </row>
    <row r="19" spans="1:15">
      <c r="A19" s="55"/>
      <c r="B19" s="55"/>
      <c r="C19" s="66"/>
      <c r="D19" s="66"/>
      <c r="E19" s="66"/>
      <c r="F19" s="66"/>
      <c r="G19" s="66"/>
      <c r="H19" s="66"/>
      <c r="I19" s="55"/>
      <c r="J19" s="55"/>
      <c r="K19" s="55"/>
      <c r="L19" s="55"/>
      <c r="M19" s="55"/>
      <c r="N19" s="55"/>
      <c r="O19" s="55"/>
    </row>
    <row r="20" spans="1:15">
      <c r="A20" s="151" t="s">
        <v>123</v>
      </c>
      <c r="B20" s="151"/>
      <c r="C20" s="151"/>
      <c r="D20" s="151"/>
      <c r="E20" s="151"/>
      <c r="F20" s="151"/>
      <c r="G20" s="151"/>
      <c r="H20" s="151"/>
      <c r="I20" s="151"/>
      <c r="J20" s="151"/>
      <c r="K20" s="55"/>
      <c r="L20" s="55"/>
      <c r="M20" s="55"/>
      <c r="N20" s="55"/>
      <c r="O20" s="55"/>
    </row>
    <row r="21" spans="1:15">
      <c r="A21" s="151"/>
      <c r="B21" s="151"/>
      <c r="C21" s="151"/>
      <c r="D21" s="151"/>
      <c r="E21" s="151"/>
      <c r="F21" s="151"/>
      <c r="G21" s="151"/>
      <c r="H21" s="151"/>
      <c r="I21" s="151"/>
      <c r="J21" s="151"/>
      <c r="K21" s="55"/>
      <c r="L21" s="55"/>
      <c r="M21" s="55"/>
      <c r="N21" s="55"/>
      <c r="O21" s="55"/>
    </row>
    <row r="22" spans="1:15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</row>
    <row r="23" spans="1:15" hidden="1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</row>
    <row r="24" spans="1:15" hidden="1">
      <c r="A24" s="55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</row>
    <row r="25" spans="1:15" hidden="1">
      <c r="A25" s="55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</row>
    <row r="26" spans="1:15" hidden="1">
      <c r="A26" s="55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</row>
    <row r="27" spans="1:15" hidden="1">
      <c r="A27" s="55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</row>
    <row r="28" spans="1:15" hidden="1">
      <c r="A28" s="55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</row>
    <row r="29" spans="1:15" hidden="1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</row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  <row r="70" customFormat="1" hidden="1"/>
    <row r="71" customFormat="1" hidden="1"/>
    <row r="72" customFormat="1" hidden="1"/>
    <row r="73" customFormat="1" hidden="1"/>
    <row r="74" customFormat="1" hidden="1"/>
    <row r="75" customFormat="1" hidden="1"/>
    <row r="76" customFormat="1" hidden="1"/>
    <row r="77" customFormat="1" hidden="1"/>
    <row r="78" customFormat="1" hidden="1"/>
    <row r="79" customFormat="1" hidden="1"/>
    <row r="80" customFormat="1" hidden="1"/>
    <row r="81" customFormat="1" hidden="1"/>
    <row r="82" customFormat="1" hidden="1"/>
    <row r="83" customFormat="1" hidden="1"/>
    <row r="84" customFormat="1" hidden="1"/>
    <row r="85" customFormat="1" hidden="1"/>
    <row r="86" customFormat="1" hidden="1"/>
    <row r="87" customFormat="1" hidden="1"/>
    <row r="88" customFormat="1" hidden="1"/>
    <row r="89" customFormat="1" hidden="1"/>
    <row r="90" customFormat="1" hidden="1"/>
    <row r="91" customFormat="1" hidden="1"/>
    <row r="92" customFormat="1" hidden="1"/>
    <row r="93" customFormat="1" hidden="1"/>
    <row r="94" customFormat="1" hidden="1"/>
    <row r="95" customFormat="1" hidden="1"/>
    <row r="96" customFormat="1" hidden="1"/>
    <row r="97" customFormat="1" hidden="1"/>
    <row r="98" customFormat="1" hidden="1"/>
    <row r="99" customFormat="1" hidden="1"/>
    <row r="100" customFormat="1" hidden="1"/>
    <row r="101" customFormat="1" hidden="1"/>
  </sheetData>
  <sheetProtection sheet="1" objects="1" scenarios="1" selectLockedCells="1"/>
  <mergeCells count="8">
    <mergeCell ref="C16:F17"/>
    <mergeCell ref="G16:H17"/>
    <mergeCell ref="A20:J21"/>
    <mergeCell ref="C4:H7"/>
    <mergeCell ref="C10:F11"/>
    <mergeCell ref="G10:H11"/>
    <mergeCell ref="C12:F13"/>
    <mergeCell ref="G12:H1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XFC28"/>
  <sheetViews>
    <sheetView workbookViewId="0">
      <selection activeCell="B5" sqref="B5"/>
    </sheetView>
  </sheetViews>
  <sheetFormatPr defaultColWidth="0" defaultRowHeight="15" zeroHeight="1"/>
  <cols>
    <col min="1" max="1" width="42.7109375" style="163" customWidth="1"/>
    <col min="2" max="2" width="16.42578125" style="163" customWidth="1"/>
    <col min="3" max="5" width="9.140625" customWidth="1"/>
    <col min="6" max="6" width="10" customWidth="1"/>
    <col min="7" max="7" width="8" customWidth="1"/>
    <col min="8" max="10" width="4" hidden="1"/>
    <col min="11" max="11" width="13.5703125" hidden="1"/>
    <col min="12" max="12" width="4" hidden="1"/>
    <col min="13" max="13" width="9" hidden="1"/>
    <col min="14" max="14" width="10.28515625" hidden="1"/>
    <col min="15" max="15" width="13.42578125" hidden="1"/>
    <col min="16" max="16" width="13" hidden="1"/>
    <col min="17" max="16383" width="4" hidden="1"/>
    <col min="16384" max="16384" width="8.140625" hidden="1"/>
  </cols>
  <sheetData>
    <row r="1" spans="1:13" ht="15" customHeight="1">
      <c r="A1" s="162" t="s">
        <v>80</v>
      </c>
      <c r="B1" s="162"/>
      <c r="C1" s="162"/>
      <c r="D1" s="162"/>
      <c r="E1" s="162"/>
      <c r="F1" s="162"/>
      <c r="G1" s="54"/>
    </row>
    <row r="2" spans="1:13" ht="15" customHeight="1">
      <c r="A2" s="162"/>
      <c r="B2" s="162"/>
      <c r="C2" s="162"/>
      <c r="D2" s="162"/>
      <c r="E2" s="162"/>
      <c r="F2" s="162"/>
      <c r="G2" s="54"/>
    </row>
    <row r="3" spans="1:13" ht="15" customHeight="1">
      <c r="A3" s="162"/>
      <c r="B3" s="162"/>
      <c r="C3" s="162"/>
      <c r="D3" s="162"/>
      <c r="E3" s="162"/>
      <c r="F3" s="162"/>
      <c r="G3" s="54"/>
    </row>
    <row r="4" spans="1:13">
      <c r="C4" s="163"/>
      <c r="D4" s="163"/>
      <c r="E4" s="163"/>
      <c r="F4" s="163"/>
      <c r="G4" s="163"/>
      <c r="K4" t="s">
        <v>70</v>
      </c>
    </row>
    <row r="5" spans="1:13">
      <c r="A5" s="12" t="s">
        <v>40</v>
      </c>
      <c r="B5" s="17">
        <f>K18</f>
        <v>1472.2179166666667</v>
      </c>
      <c r="C5" s="163"/>
      <c r="D5" s="163"/>
      <c r="E5" s="163"/>
      <c r="F5" s="163"/>
      <c r="G5" s="163"/>
    </row>
    <row r="6" spans="1:13">
      <c r="C6" s="163"/>
      <c r="D6" s="163"/>
      <c r="E6" s="163"/>
      <c r="F6" s="163"/>
      <c r="G6" s="163"/>
      <c r="K6" t="s">
        <v>71</v>
      </c>
    </row>
    <row r="7" spans="1:13">
      <c r="A7" s="12" t="s">
        <v>102</v>
      </c>
      <c r="B7" s="17" t="e">
        <f>M14</f>
        <v>#VALUE!</v>
      </c>
      <c r="C7" s="163"/>
      <c r="D7" s="163"/>
      <c r="E7" s="163"/>
      <c r="F7" s="163"/>
      <c r="G7" s="163"/>
      <c r="K7" s="8">
        <f>'Business Assets Calculation'!D20</f>
        <v>1472.2179166666667</v>
      </c>
    </row>
    <row r="8" spans="1:13">
      <c r="C8" s="163"/>
      <c r="D8" s="163"/>
      <c r="E8" s="163"/>
      <c r="F8" s="163"/>
      <c r="G8" s="163"/>
      <c r="K8" t="s">
        <v>72</v>
      </c>
      <c r="M8" t="s">
        <v>107</v>
      </c>
    </row>
    <row r="9" spans="1:13">
      <c r="A9" s="12" t="s">
        <v>101</v>
      </c>
      <c r="B9" s="17">
        <f>O18</f>
        <v>736.10895833333336</v>
      </c>
      <c r="C9" s="163"/>
      <c r="D9" s="163"/>
      <c r="E9" s="163"/>
      <c r="F9" s="163"/>
      <c r="G9" s="163"/>
      <c r="K9" s="8">
        <f>'Business Assets Calculation'!I20</f>
        <v>0</v>
      </c>
      <c r="M9" s="58" t="str">
        <f>'Business Assets Calculation'!X27</f>
        <v>No Test</v>
      </c>
    </row>
    <row r="10" spans="1:13">
      <c r="C10" s="163"/>
      <c r="D10" s="163"/>
      <c r="E10" s="163"/>
      <c r="F10" s="163"/>
      <c r="G10" s="163"/>
      <c r="K10" t="s">
        <v>73</v>
      </c>
    </row>
    <row r="11" spans="1:13">
      <c r="A11" s="12" t="s">
        <v>41</v>
      </c>
      <c r="B11" s="17">
        <f>'Reserve Calculator'!J8</f>
        <v>65410.54</v>
      </c>
      <c r="C11" s="163"/>
      <c r="D11" s="163"/>
      <c r="E11" s="163"/>
      <c r="F11" s="163"/>
      <c r="G11" s="163"/>
      <c r="K11" s="8">
        <f>'Business Assets Calculation'!N20</f>
        <v>0</v>
      </c>
    </row>
    <row r="12" spans="1:13">
      <c r="A12" s="161"/>
      <c r="B12" s="161"/>
      <c r="C12" s="163"/>
      <c r="D12" s="163"/>
      <c r="E12" s="163"/>
      <c r="F12" s="163"/>
      <c r="G12" s="163"/>
      <c r="K12" t="s">
        <v>74</v>
      </c>
    </row>
    <row r="13" spans="1:13">
      <c r="A13" s="12" t="s">
        <v>85</v>
      </c>
      <c r="B13" s="17">
        <f>'Reserve Calculator'!J10</f>
        <v>0</v>
      </c>
      <c r="C13" s="163"/>
      <c r="D13" s="163"/>
      <c r="E13" s="163"/>
      <c r="F13" s="163"/>
      <c r="G13" s="163"/>
      <c r="K13" s="8">
        <f>'Personal Assets Analysis &amp; Calc'!H57</f>
        <v>0</v>
      </c>
      <c r="M13" t="s">
        <v>109</v>
      </c>
    </row>
    <row r="14" spans="1:13">
      <c r="A14" s="161"/>
      <c r="B14" s="161"/>
      <c r="C14" s="163"/>
      <c r="D14" s="163"/>
      <c r="E14" s="163"/>
      <c r="F14" s="163"/>
      <c r="G14" s="163"/>
      <c r="M14" t="e">
        <f>IF(N18 &lt; K18,N18,K18)</f>
        <v>#VALUE!</v>
      </c>
    </row>
    <row r="15" spans="1:13">
      <c r="A15" s="12" t="s">
        <v>100</v>
      </c>
      <c r="B15" s="17" t="str">
        <f>'Reserve Calculator'!J17</f>
        <v>Number of Months required for Subj Property only:</v>
      </c>
      <c r="C15" s="163"/>
      <c r="D15" s="163"/>
      <c r="E15" s="163"/>
      <c r="F15" s="163"/>
      <c r="G15" s="163"/>
    </row>
    <row r="16" spans="1:13">
      <c r="A16" s="164"/>
      <c r="B16" s="164"/>
      <c r="C16" s="163"/>
      <c r="D16" s="163"/>
      <c r="E16" s="163"/>
      <c r="F16" s="163"/>
      <c r="G16" s="163"/>
      <c r="K16" s="8"/>
    </row>
    <row r="17" spans="1:15">
      <c r="A17" s="59" t="s">
        <v>110</v>
      </c>
      <c r="B17" s="60" t="str">
        <f>'Business Assets Calculation'!W27</f>
        <v>No Test</v>
      </c>
      <c r="C17" s="163"/>
      <c r="D17" s="163"/>
      <c r="E17" s="163"/>
      <c r="F17" s="163"/>
      <c r="G17" s="163"/>
      <c r="K17" t="s">
        <v>79</v>
      </c>
      <c r="M17" t="s">
        <v>83</v>
      </c>
      <c r="N17" t="s">
        <v>81</v>
      </c>
      <c r="O17" t="s">
        <v>82</v>
      </c>
    </row>
    <row r="18" spans="1:15">
      <c r="C18" s="163"/>
      <c r="D18" s="163"/>
      <c r="E18" s="163"/>
      <c r="F18" s="163"/>
      <c r="G18" s="163"/>
      <c r="K18" s="8">
        <f>IF(AND(K7&gt;0,K9&gt;0,K11&gt;0,K13&gt;0,M9="Yes"),K11,IF(AND(K7&gt;0,K9&gt;0,K11&gt;0,K13&gt;0,M9="No"),K9,IF(AND(K7&gt;0,K9&gt;0,K11&gt;0,M9="Yes"),K11,IF(AND(K7&gt;0,K9&gt;0,K11&gt;0,M9="No"),K9,IF(AND(K7&gt;0,K11&gt;0,M9="Yes"),K11,IF(AND(K7&gt;0,K11&gt;0,M9="No"),K7,IF(AND(K7&gt;0,K9&gt;0),K9,IF(AND(K13&gt;0,K7=0,K9=0,K11=0),K13,IF(AND(K7&gt;0,K9&gt;0,K13&gt;0),K9,IF(AND(K7&gt;0,K9=0,K11=0,K13=0),K7,IF(AND(K7&gt;0,K9=o,K11=0,K13=0),K7,0)))))))))))</f>
        <v>1472.2179166666667</v>
      </c>
      <c r="M18" t="str">
        <f>'Business Asset Analysis'!B4</f>
        <v xml:space="preserve"> </v>
      </c>
      <c r="N18" t="e">
        <f>IF(M18&gt;0,M18*0.05,IF(M20&gt;0,M20*0.05,IF(AND(M18&gt;0,M20&gt;0),M18*0.05,"0")))</f>
        <v>#VALUE!</v>
      </c>
      <c r="O18">
        <f>IF(K18="",0,K18*0.5)</f>
        <v>736.10895833333336</v>
      </c>
    </row>
    <row r="19" spans="1:15" ht="15" hidden="1" customHeight="1">
      <c r="C19" s="11"/>
      <c r="D19" s="11"/>
      <c r="E19" s="11"/>
      <c r="F19" s="11"/>
      <c r="G19" s="11"/>
      <c r="M19" t="s">
        <v>84</v>
      </c>
    </row>
    <row r="20" spans="1:15" ht="15" hidden="1" customHeight="1">
      <c r="C20" s="11"/>
      <c r="D20" s="11"/>
      <c r="E20" s="11"/>
      <c r="F20" s="11"/>
      <c r="G20" s="11"/>
      <c r="K20" s="8"/>
      <c r="M20">
        <f>'Personal Assets Analysis &amp; Calc'!B4</f>
        <v>0</v>
      </c>
    </row>
    <row r="21" spans="1:15" ht="15" hidden="1" customHeight="1">
      <c r="C21" s="11"/>
      <c r="D21" s="11"/>
      <c r="E21" s="11"/>
      <c r="F21" s="11"/>
      <c r="G21" s="11"/>
    </row>
    <row r="22" spans="1:15" ht="15" hidden="1" customHeight="1">
      <c r="C22" s="11"/>
      <c r="D22" s="11"/>
      <c r="E22" s="11"/>
      <c r="F22" s="11"/>
      <c r="G22" s="11"/>
    </row>
    <row r="23" spans="1:15" ht="15" hidden="1" customHeight="1">
      <c r="C23" s="11"/>
      <c r="D23" s="11"/>
      <c r="E23" s="11"/>
      <c r="F23" s="11"/>
      <c r="G23" s="11"/>
    </row>
    <row r="24" spans="1:15" ht="15" hidden="1" customHeight="1">
      <c r="C24" s="11"/>
      <c r="D24" s="11"/>
      <c r="E24" s="11"/>
      <c r="F24" s="11"/>
      <c r="G24" s="11"/>
    </row>
    <row r="25" spans="1:15" ht="15" hidden="1" customHeight="1">
      <c r="C25" s="11"/>
      <c r="D25" s="11"/>
      <c r="E25" s="11"/>
      <c r="F25" s="11"/>
      <c r="G25" s="11"/>
    </row>
    <row r="26" spans="1:15" ht="15" hidden="1" customHeight="1">
      <c r="C26" s="11"/>
      <c r="D26" s="11"/>
      <c r="E26" s="11"/>
      <c r="F26" s="11"/>
      <c r="G26" s="11"/>
    </row>
    <row r="27" spans="1:15" ht="15" hidden="1" customHeight="1">
      <c r="C27" s="11"/>
      <c r="D27" s="11"/>
      <c r="E27" s="11"/>
      <c r="F27" s="11"/>
      <c r="G27" s="11"/>
    </row>
    <row r="28" spans="1:15" ht="15" hidden="1" customHeight="1">
      <c r="C28" s="11"/>
      <c r="D28" s="11"/>
      <c r="E28" s="11"/>
      <c r="F28" s="11"/>
      <c r="G28" s="11"/>
    </row>
  </sheetData>
  <sheetProtection sheet="1" selectLockedCells="1"/>
  <mergeCells count="10">
    <mergeCell ref="A12:B12"/>
    <mergeCell ref="A14:B14"/>
    <mergeCell ref="A1:F3"/>
    <mergeCell ref="A4:B4"/>
    <mergeCell ref="A6:B6"/>
    <mergeCell ref="A8:B8"/>
    <mergeCell ref="A10:B10"/>
    <mergeCell ref="C4:G18"/>
    <mergeCell ref="A16:B16"/>
    <mergeCell ref="A18:B1048576"/>
  </mergeCells>
  <conditionalFormatting sqref="B13">
    <cfRule type="expression" dxfId="3" priority="3">
      <formula xml:space="preserve"> B13 &lt; B11</formula>
    </cfRule>
    <cfRule type="expression" dxfId="2" priority="4">
      <formula xml:space="preserve"> B13 &gt; B11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B9525D0F-B868-413D-9822-52BEC583A5D7}">
            <xm:f>'Business Assets Calculation'!$X$27 = "No"</xm:f>
            <x14:dxf>
              <font>
                <color theme="0"/>
              </font>
              <fill>
                <patternFill>
                  <bgColor rgb="FFF68A33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B17</xm:sqref>
        </x14:conditionalFormatting>
        <x14:conditionalFormatting xmlns:xm="http://schemas.microsoft.com/office/excel/2006/main">
          <x14:cfRule type="expression" priority="1" id="{17646690-6EC4-4112-906C-389E43FEBA4E}">
            <xm:f>'Business Assets Calculation'!$X$27 = "No"</xm:f>
            <x14:dxf>
              <font>
                <color theme="1"/>
              </font>
              <fill>
                <patternFill>
                  <bgColor rgb="FFE5E6E2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A17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I7"/>
  <sheetViews>
    <sheetView topLeftCell="C1" workbookViewId="0">
      <selection activeCell="I4" sqref="I4"/>
    </sheetView>
  </sheetViews>
  <sheetFormatPr defaultRowHeight="15"/>
  <cols>
    <col min="1" max="1" width="33.28515625" customWidth="1"/>
    <col min="2" max="2" width="39.28515625" customWidth="1"/>
    <col min="3" max="3" width="34.85546875" customWidth="1"/>
    <col min="4" max="4" width="32.85546875" customWidth="1"/>
    <col min="5" max="5" width="34" customWidth="1"/>
    <col min="6" max="6" width="39.7109375" customWidth="1"/>
    <col min="7" max="7" width="36.85546875" customWidth="1"/>
    <col min="8" max="8" width="38" customWidth="1"/>
    <col min="9" max="9" width="16" customWidth="1"/>
  </cols>
  <sheetData>
    <row r="2" spans="1:9">
      <c r="A2" t="s">
        <v>34</v>
      </c>
      <c r="B2" t="s">
        <v>50</v>
      </c>
      <c r="C2" t="s">
        <v>53</v>
      </c>
      <c r="D2" t="s">
        <v>54</v>
      </c>
      <c r="E2" t="s">
        <v>55</v>
      </c>
      <c r="F2" t="s">
        <v>86</v>
      </c>
      <c r="G2" t="s">
        <v>92</v>
      </c>
      <c r="H2" t="s">
        <v>93</v>
      </c>
      <c r="I2" t="s">
        <v>127</v>
      </c>
    </row>
    <row r="3" spans="1:9">
      <c r="A3" t="s">
        <v>33</v>
      </c>
      <c r="B3" t="s">
        <v>51</v>
      </c>
      <c r="C3" t="s">
        <v>51</v>
      </c>
      <c r="D3" t="s">
        <v>51</v>
      </c>
      <c r="E3" t="s">
        <v>51</v>
      </c>
      <c r="F3" t="s">
        <v>87</v>
      </c>
      <c r="G3" t="s">
        <v>87</v>
      </c>
      <c r="H3" t="s">
        <v>87</v>
      </c>
      <c r="I3" t="s">
        <v>131</v>
      </c>
    </row>
    <row r="4" spans="1:9">
      <c r="A4" t="s">
        <v>32</v>
      </c>
      <c r="B4" t="s">
        <v>52</v>
      </c>
      <c r="C4" t="s">
        <v>52</v>
      </c>
      <c r="D4" t="s">
        <v>52</v>
      </c>
      <c r="E4" t="s">
        <v>52</v>
      </c>
      <c r="F4" t="s">
        <v>88</v>
      </c>
      <c r="G4" t="s">
        <v>88</v>
      </c>
      <c r="H4" t="s">
        <v>88</v>
      </c>
      <c r="I4" t="s">
        <v>128</v>
      </c>
    </row>
    <row r="5" spans="1:9">
      <c r="F5" t="s">
        <v>89</v>
      </c>
      <c r="G5" t="s">
        <v>89</v>
      </c>
      <c r="H5" t="s">
        <v>89</v>
      </c>
      <c r="I5" t="s">
        <v>129</v>
      </c>
    </row>
    <row r="6" spans="1:9">
      <c r="F6" t="s">
        <v>90</v>
      </c>
      <c r="G6" t="s">
        <v>90</v>
      </c>
      <c r="H6" t="s">
        <v>90</v>
      </c>
    </row>
    <row r="7" spans="1:9">
      <c r="F7" t="s">
        <v>91</v>
      </c>
      <c r="G7" t="s">
        <v>91</v>
      </c>
      <c r="H7" t="s">
        <v>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Personal Assets Analysis &amp; Calc</vt:lpstr>
      <vt:lpstr>Business Asset Analysis</vt:lpstr>
      <vt:lpstr>Business Assets Calculation</vt:lpstr>
      <vt:lpstr>Reserve Calculator</vt:lpstr>
      <vt:lpstr>Subject Property Reserves</vt:lpstr>
      <vt:lpstr>Summary</vt:lpstr>
      <vt:lpstr>Lists</vt:lpstr>
    </vt:vector>
  </TitlesOfParts>
  <Company>USFS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Leskoviansky</dc:creator>
  <cp:lastModifiedBy>Reva Haskin</cp:lastModifiedBy>
  <cp:lastPrinted>2022-03-10T20:47:29Z</cp:lastPrinted>
  <dcterms:created xsi:type="dcterms:W3CDTF">2022-02-22T18:42:12Z</dcterms:created>
  <dcterms:modified xsi:type="dcterms:W3CDTF">2024-04-22T18:47:56Z</dcterms:modified>
</cp:coreProperties>
</file>