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Forms (RH)\"/>
    </mc:Choice>
  </mc:AlternateContent>
  <xr:revisionPtr revIDLastSave="0" documentId="13_ncr:1_{5F1143AE-A8C3-4A7B-881C-BF2B122638A4}" xr6:coauthVersionLast="47" xr6:coauthVersionMax="47" xr10:uidLastSave="{00000000-0000-0000-0000-000000000000}"/>
  <bookViews>
    <workbookView xWindow="28680" yWindow="-120" windowWidth="29040" windowHeight="15840" xr2:uid="{1F9402EE-26BB-4B6D-AB73-CB1904421081}"/>
  </bookViews>
  <sheets>
    <sheet name="VA_Maximum_Mortgage_Worksheet" sheetId="1" r:id="rId1"/>
    <sheet name="List Options" sheetId="2" r:id="rId2"/>
  </sheets>
  <definedNames>
    <definedName name="delete">VA_Maximum_Mortgage_Worksheet!$D$11,VA_Maximum_Mortgage_Worksheet!$D$12,VA_Maximum_Mortgage_Worksheet!$E$13,VA_Maximum_Mortgage_Worksheet!$K$11,VA_Maximum_Mortgage_Worksheet!$K$12,VA_Maximum_Mortgage_Worksheet!$J$27,VA_Maximum_Mortgage_Worksheet!$E$41</definedName>
    <definedName name="Loan">'List Options'!$A$2:$A$14</definedName>
    <definedName name="LOANS">'List Options'!$A$1:$A$14</definedName>
    <definedName name="_xlnm.Print_Area" localSheetId="0">VA_Maximum_Mortgage_Worksheet!$A$1:$L$51</definedName>
    <definedName name="Purchase_ZeroDown_RegularMilitary">'List Options'!#REF!</definedName>
    <definedName name="Purchase_ZeroDown_Reservist_NationalGuard">'List Options'!#REF!</definedName>
    <definedName name="REMOVE">VA_Maximum_Mortgage_Worksheet!$D$11,VA_Maximum_Mortgage_Worksheet!$D$12,VA_Maximum_Mortgage_Worksheet!$E$13,VA_Maximum_Mortgage_Worksheet!$K$11,VA_Maximum_Mortgage_Worksheet!$K$12,VA_Maximum_Mortgage_Worksheet!$F$17,VA_Maximum_Mortgage_Worksheet!$H$18,VA_Maximum_Mortgage_Worksheet!$E$18,VA_Maximum_Mortgage_Worksheet!$K$18,VA_Maximum_Mortgage_Worksheet!$J$21,VA_Maximum_Mortgage_Worksheet!$J$22,VA_Maximum_Mortgage_Worksheet!$J$23,VA_Maximum_Mortgage_Worksheet!$J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" i="1" l="1"/>
  <c r="G15" i="1" l="1"/>
  <c r="J48" i="1" l="1"/>
  <c r="J35" i="1"/>
  <c r="J28" i="1"/>
  <c r="J24" i="1"/>
  <c r="J29" i="1" s="1"/>
  <c r="J30" i="1" l="1"/>
  <c r="J40" i="1" s="1"/>
  <c r="J45" i="1"/>
  <c r="J41" i="1" l="1"/>
  <c r="J42" i="1" s="1"/>
  <c r="J36" i="1"/>
  <c r="J37" i="1" s="1"/>
  <c r="J46" i="1" s="1"/>
  <c r="J47" i="1" s="1"/>
  <c r="J49" i="1" s="1"/>
</calcChain>
</file>

<file path=xl/sharedStrings.xml><?xml version="1.0" encoding="utf-8"?>
<sst xmlns="http://schemas.openxmlformats.org/spreadsheetml/2006/main" count="95" uniqueCount="77">
  <si>
    <t>VA Entitlement Worksheet</t>
  </si>
  <si>
    <t>Maximum Mortgage Calculation Worksheet</t>
  </si>
  <si>
    <t>Borrower(s):</t>
  </si>
  <si>
    <t>New VA Case #:</t>
  </si>
  <si>
    <t>Prior VA First Payment Date:</t>
  </si>
  <si>
    <t>Date Completed:</t>
  </si>
  <si>
    <t>Loan Number:</t>
  </si>
  <si>
    <t>Entitlement</t>
  </si>
  <si>
    <t>1a)</t>
  </si>
  <si>
    <t>(-)</t>
  </si>
  <si>
    <t>(=)</t>
  </si>
  <si>
    <t>1b)</t>
  </si>
  <si>
    <t>2)</t>
  </si>
  <si>
    <t>3)</t>
  </si>
  <si>
    <t>Entitlement available for New VA Loan</t>
  </si>
  <si>
    <t>Maximum Loan Amount Calculation</t>
  </si>
  <si>
    <t>4)</t>
  </si>
  <si>
    <t>5)</t>
  </si>
  <si>
    <t>6)</t>
  </si>
  <si>
    <t>7)</t>
  </si>
  <si>
    <t>Maximum Base Loan</t>
  </si>
  <si>
    <t>(x)</t>
  </si>
  <si>
    <t>(+)</t>
  </si>
  <si>
    <t>Required Cash Down Payment</t>
  </si>
  <si>
    <t>8)</t>
  </si>
  <si>
    <t>9)</t>
  </si>
  <si>
    <t>10)</t>
  </si>
  <si>
    <t>Lesser of Property Value per NOV or Sales Price (line 4)</t>
  </si>
  <si>
    <t>Required Cash Down Payment/Equity</t>
  </si>
  <si>
    <t>Final Loan Amount</t>
  </si>
  <si>
    <t>11)</t>
  </si>
  <si>
    <t>12)</t>
  </si>
  <si>
    <t>13)</t>
  </si>
  <si>
    <t>Base Loan Amont (line 7)</t>
  </si>
  <si>
    <t>VA Funding Fee</t>
  </si>
  <si>
    <t>(select applicable factor)</t>
  </si>
  <si>
    <t>Guaranty Percentage on Proposed Loan Amount</t>
  </si>
  <si>
    <t>14)</t>
  </si>
  <si>
    <t>15)</t>
  </si>
  <si>
    <t>16)</t>
  </si>
  <si>
    <t>17)</t>
  </si>
  <si>
    <t>18)</t>
  </si>
  <si>
    <t>Entitlement (line 3)</t>
  </si>
  <si>
    <t>Total of line 14 and line 15</t>
  </si>
  <si>
    <t>Subsequent Use - Zero Down - Regular Military</t>
  </si>
  <si>
    <t>Subsequent Use - Zero Down-Reservist/National Guard</t>
  </si>
  <si>
    <t>Purchase and Subsequent Use - 5% Down - Regular Military</t>
  </si>
  <si>
    <t>Purchase and Subsequent Use  - 5% Down - Reservist/National Guard</t>
  </si>
  <si>
    <t>Purchase and Subsequent Use - 10% Down - Regular Military</t>
  </si>
  <si>
    <t>Purchase and Subsequent Use  - 10% Down - Reservist/National Guard</t>
  </si>
  <si>
    <t>Refinance Loan - Regular Military</t>
  </si>
  <si>
    <t>Refinance Loan - Reservist/National Guard</t>
  </si>
  <si>
    <t>Refinance Loan - Subsequent Use - Regular Military</t>
  </si>
  <si>
    <t>Refinance Loan - Subsequent Use - Reservist/National Guard</t>
  </si>
  <si>
    <t>IRRRL</t>
  </si>
  <si>
    <t>Purchase - ZeroDown - Reservist/NationalGuard</t>
  </si>
  <si>
    <t>Purchase - ZeroDown - RegularMilitary</t>
  </si>
  <si>
    <t>County/Limit</t>
  </si>
  <si>
    <t>State:</t>
  </si>
  <si>
    <t>County:</t>
  </si>
  <si>
    <t>VA Cash Out: The Note date must be on or after:</t>
  </si>
  <si>
    <r>
      <t xml:space="preserve">Enter </t>
    </r>
    <r>
      <rPr>
        <b/>
        <sz val="10"/>
        <color theme="1"/>
        <rFont val="Calibri"/>
        <family val="2"/>
        <scheme val="minor"/>
      </rPr>
      <t>Limit</t>
    </r>
    <r>
      <rPr>
        <sz val="10"/>
        <color theme="1"/>
        <rFont val="Calibri"/>
        <family val="2"/>
        <scheme val="minor"/>
      </rPr>
      <t xml:space="preserve"> Amount:</t>
    </r>
  </si>
  <si>
    <r>
      <t xml:space="preserve">less </t>
    </r>
    <r>
      <rPr>
        <sz val="10"/>
        <color theme="1"/>
        <rFont val="Calibri"/>
        <family val="2"/>
        <scheme val="minor"/>
      </rPr>
      <t>previously used entitlement (if applicable)</t>
    </r>
  </si>
  <si>
    <r>
      <t xml:space="preserve">multiply </t>
    </r>
    <r>
      <rPr>
        <sz val="10"/>
        <color theme="1"/>
        <rFont val="Calibri"/>
        <family val="2"/>
        <scheme val="minor"/>
      </rPr>
      <t>by 75%</t>
    </r>
  </si>
  <si>
    <r>
      <t xml:space="preserve">plus </t>
    </r>
    <r>
      <rPr>
        <sz val="10"/>
        <color theme="1"/>
        <rFont val="Calibri"/>
        <family val="2"/>
        <scheme val="minor"/>
      </rPr>
      <t xml:space="preserve"> available entitlement (line 3)</t>
    </r>
  </si>
  <si>
    <r>
      <t xml:space="preserve">For </t>
    </r>
    <r>
      <rPr>
        <b/>
        <sz val="10"/>
        <color theme="1"/>
        <rFont val="Calibri"/>
        <family val="2"/>
        <scheme val="minor"/>
      </rPr>
      <t xml:space="preserve">Purchases </t>
    </r>
    <r>
      <rPr>
        <i/>
        <sz val="10"/>
        <color theme="1"/>
        <rFont val="Calibri"/>
        <family val="2"/>
        <scheme val="minor"/>
      </rPr>
      <t>or</t>
    </r>
    <r>
      <rPr>
        <sz val="10"/>
        <color theme="1"/>
        <rFont val="Calibri"/>
        <family val="2"/>
        <scheme val="minor"/>
      </rPr>
      <t xml:space="preserve"> </t>
    </r>
    <r>
      <rPr>
        <b/>
        <sz val="10"/>
        <color theme="1"/>
        <rFont val="Calibri"/>
        <family val="2"/>
        <scheme val="minor"/>
      </rPr>
      <t>Cash-out Refinances</t>
    </r>
    <r>
      <rPr>
        <sz val="10"/>
        <color theme="1"/>
        <rFont val="Calibri"/>
        <family val="2"/>
        <scheme val="minor"/>
      </rPr>
      <t xml:space="preserve">, the maximum base loan equals the </t>
    </r>
    <r>
      <rPr>
        <b/>
        <sz val="10"/>
        <color rgb="FFFF0000"/>
        <rFont val="Calibri"/>
        <family val="2"/>
        <scheme val="minor"/>
      </rPr>
      <t>lesser of</t>
    </r>
    <r>
      <rPr>
        <sz val="10"/>
        <color theme="1"/>
        <rFont val="Calibri"/>
        <family val="2"/>
        <scheme val="minor"/>
      </rPr>
      <t xml:space="preserve"> line 4 </t>
    </r>
    <r>
      <rPr>
        <i/>
        <sz val="10"/>
        <color theme="1"/>
        <rFont val="Calibri"/>
        <family val="2"/>
        <scheme val="minor"/>
      </rPr>
      <t xml:space="preserve">or </t>
    </r>
    <r>
      <rPr>
        <sz val="10"/>
        <color theme="1"/>
        <rFont val="Calibri"/>
        <family val="2"/>
        <scheme val="minor"/>
      </rPr>
      <t>line 6</t>
    </r>
  </si>
  <si>
    <r>
      <t xml:space="preserve">less </t>
    </r>
    <r>
      <rPr>
        <sz val="10"/>
        <color theme="1"/>
        <rFont val="Calibri"/>
        <family val="2"/>
        <scheme val="minor"/>
      </rPr>
      <t>maximum Base Loan Amount (line 7)</t>
    </r>
  </si>
  <si>
    <r>
      <t xml:space="preserve">plus </t>
    </r>
    <r>
      <rPr>
        <sz val="10"/>
        <color theme="1"/>
        <rFont val="Calibri"/>
        <family val="2"/>
        <scheme val="minor"/>
      </rPr>
      <t>required Cash Down Payment/Equity (line 10)</t>
    </r>
  </si>
  <si>
    <r>
      <t>Guaranty Percentage (</t>
    </r>
    <r>
      <rPr>
        <b/>
        <i/>
        <sz val="10"/>
        <color theme="1"/>
        <rFont val="Calibri"/>
        <family val="2"/>
        <scheme val="minor"/>
      </rPr>
      <t>cannot be less than 25%</t>
    </r>
    <r>
      <rPr>
        <b/>
        <sz val="10"/>
        <color theme="1"/>
        <rFont val="Calibri"/>
        <family val="2"/>
        <scheme val="minor"/>
      </rPr>
      <t>)</t>
    </r>
  </si>
  <si>
    <r>
      <t xml:space="preserve">divide </t>
    </r>
    <r>
      <rPr>
        <sz val="10"/>
        <color theme="1"/>
        <rFont val="Calibri"/>
        <family val="2"/>
        <scheme val="minor"/>
      </rPr>
      <t>line 16 by Property Value per NOV or Sales Price (line 4)</t>
    </r>
  </si>
  <si>
    <r>
      <rPr>
        <b/>
        <sz val="10"/>
        <color rgb="FFFF0000"/>
        <rFont val="Calibri"/>
        <family val="2"/>
        <scheme val="minor"/>
      </rPr>
      <t>Lesser of</t>
    </r>
    <r>
      <rPr>
        <sz val="10"/>
        <color theme="1"/>
        <rFont val="Calibri"/>
        <family val="2"/>
        <scheme val="minor"/>
      </rPr>
      <t xml:space="preserve"> Property Value per NOV </t>
    </r>
    <r>
      <rPr>
        <u/>
        <sz val="10"/>
        <color theme="1"/>
        <rFont val="Calibri"/>
        <family val="2"/>
        <scheme val="minor"/>
      </rPr>
      <t>or</t>
    </r>
    <r>
      <rPr>
        <i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Sales Price</t>
    </r>
  </si>
  <si>
    <r>
      <t xml:space="preserve">Enter </t>
    </r>
    <r>
      <rPr>
        <b/>
        <sz val="10"/>
        <color theme="1"/>
        <rFont val="Calibri"/>
        <family val="2"/>
        <scheme val="minor"/>
      </rPr>
      <t>25%</t>
    </r>
    <r>
      <rPr>
        <sz val="10"/>
        <color theme="1"/>
        <rFont val="Calibri"/>
        <family val="2"/>
        <scheme val="minor"/>
      </rPr>
      <t xml:space="preserve"> of the VA County Loan Limit for loans </t>
    </r>
    <r>
      <rPr>
        <b/>
        <sz val="10"/>
        <color theme="1"/>
        <rFont val="Calibri"/>
        <family val="2"/>
        <scheme val="minor"/>
      </rPr>
      <t>&gt;$144,000</t>
    </r>
    <r>
      <rPr>
        <sz val="10"/>
        <color theme="1"/>
        <rFont val="Calibri"/>
        <family val="2"/>
        <scheme val="minor"/>
      </rPr>
      <t xml:space="preserve"> (must calculate)</t>
    </r>
  </si>
  <si>
    <t>Complete applicable gray highlighted items.  Blue highlighted items are automatically calculated.</t>
  </si>
  <si>
    <t>Loan Type &amp; Military Service (select drop-down):</t>
  </si>
  <si>
    <r>
      <t xml:space="preserve">1 field only - </t>
    </r>
    <r>
      <rPr>
        <u/>
        <sz val="10"/>
        <color theme="1"/>
        <rFont val="Calibri"/>
        <family val="2"/>
        <scheme val="minor"/>
      </rPr>
      <t>both</t>
    </r>
    <r>
      <rPr>
        <sz val="10"/>
        <color theme="1"/>
        <rFont val="Calibri"/>
        <family val="2"/>
        <scheme val="minor"/>
      </rPr>
      <t xml:space="preserve"> fields may not be completed</t>
    </r>
  </si>
  <si>
    <r>
      <t xml:space="preserve">Enter </t>
    </r>
    <r>
      <rPr>
        <b/>
        <sz val="10"/>
        <color theme="1"/>
        <rFont val="Calibri"/>
        <family val="2"/>
        <scheme val="minor"/>
      </rPr>
      <t>$36,000</t>
    </r>
    <r>
      <rPr>
        <sz val="10"/>
        <color theme="1"/>
        <rFont val="Calibri"/>
        <family val="2"/>
        <scheme val="minor"/>
      </rPr>
      <t xml:space="preserve"> entitlement for all loans </t>
    </r>
    <r>
      <rPr>
        <b/>
        <sz val="10"/>
        <color theme="1"/>
        <rFont val="Calibri"/>
        <family val="2"/>
      </rPr>
      <t>≤$144,000</t>
    </r>
    <r>
      <rPr>
        <sz val="10"/>
        <color theme="1"/>
        <rFont val="Calibri"/>
        <family val="2"/>
      </rPr>
      <t xml:space="preserve">, </t>
    </r>
    <r>
      <rPr>
        <b/>
        <u/>
        <sz val="10"/>
        <color rgb="FFFF0000"/>
        <rFont val="Calibri"/>
        <family val="2"/>
      </rPr>
      <t>or</t>
    </r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</si>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</sst>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u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A992C"/>
        <bgColor indexed="64"/>
      </patternFill>
    </fill>
    <fill>
      <patternFill patternType="solid">
        <fgColor rgb="FFF6ECD6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7">
    <xf numFmtId="0" fontId="0" fillId="0" borderId="0" xfId="0"/>
    <xf numFmtId="10" fontId="0" fillId="0" borderId="0" xfId="0" applyNumberFormat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18" xfId="0" applyFont="1" applyBorder="1" applyAlignment="1">
      <alignment horizontal="right"/>
    </xf>
    <xf numFmtId="0" fontId="2" fillId="0" borderId="19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2" fillId="5" borderId="0" xfId="0" applyFont="1" applyFill="1"/>
    <xf numFmtId="0" fontId="2" fillId="5" borderId="0" xfId="0" applyFont="1" applyFill="1" applyAlignment="1">
      <alignment horizontal="left"/>
    </xf>
    <xf numFmtId="14" fontId="2" fillId="5" borderId="0" xfId="0" applyNumberFormat="1" applyFont="1" applyFill="1" applyAlignment="1">
      <alignment horizontal="left"/>
    </xf>
    <xf numFmtId="0" fontId="5" fillId="5" borderId="0" xfId="0" applyFont="1" applyFill="1" applyAlignment="1">
      <alignment horizontal="left"/>
    </xf>
    <xf numFmtId="14" fontId="3" fillId="5" borderId="0" xfId="0" applyNumberFormat="1" applyFont="1" applyFill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/>
    <xf numFmtId="0" fontId="2" fillId="0" borderId="10" xfId="0" applyFont="1" applyBorder="1" applyAlignment="1">
      <alignment horizontal="center"/>
    </xf>
    <xf numFmtId="0" fontId="2" fillId="0" borderId="3" xfId="0" applyFont="1" applyBorder="1"/>
    <xf numFmtId="0" fontId="2" fillId="0" borderId="3" xfId="0" applyFont="1" applyBorder="1" applyAlignment="1">
      <alignment horizontal="right"/>
    </xf>
    <xf numFmtId="0" fontId="3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right"/>
    </xf>
    <xf numFmtId="0" fontId="3" fillId="0" borderId="10" xfId="0" applyFont="1" applyBorder="1" applyAlignment="1">
      <alignment horizontal="center"/>
    </xf>
    <xf numFmtId="0" fontId="2" fillId="0" borderId="10" xfId="0" applyFont="1" applyBorder="1"/>
    <xf numFmtId="0" fontId="2" fillId="0" borderId="12" xfId="0" applyFont="1" applyBorder="1"/>
    <xf numFmtId="0" fontId="2" fillId="0" borderId="13" xfId="0" applyFont="1" applyBorder="1" applyAlignment="1">
      <alignment horizontal="right"/>
    </xf>
    <xf numFmtId="0" fontId="2" fillId="0" borderId="5" xfId="0" applyFont="1" applyBorder="1"/>
    <xf numFmtId="0" fontId="2" fillId="0" borderId="6" xfId="0" applyFont="1" applyBorder="1"/>
    <xf numFmtId="0" fontId="3" fillId="0" borderId="10" xfId="0" applyFont="1" applyBorder="1"/>
    <xf numFmtId="0" fontId="3" fillId="0" borderId="0" xfId="0" applyFont="1"/>
    <xf numFmtId="0" fontId="4" fillId="0" borderId="13" xfId="0" applyFont="1" applyBorder="1"/>
    <xf numFmtId="0" fontId="2" fillId="0" borderId="13" xfId="0" applyFont="1" applyBorder="1"/>
    <xf numFmtId="0" fontId="2" fillId="0" borderId="19" xfId="0" applyFont="1" applyBorder="1"/>
    <xf numFmtId="0" fontId="6" fillId="0" borderId="0" xfId="1" applyFont="1" applyAlignment="1" applyProtection="1">
      <alignment horizontal="center"/>
    </xf>
    <xf numFmtId="0" fontId="2" fillId="2" borderId="1" xfId="0" applyFont="1" applyFill="1" applyBorder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0" fontId="2" fillId="0" borderId="0" xfId="0" applyFont="1" applyAlignment="1">
      <alignment horizontal="left"/>
    </xf>
    <xf numFmtId="4" fontId="2" fillId="0" borderId="8" xfId="0" applyNumberFormat="1" applyFont="1" applyBorder="1" applyAlignment="1">
      <alignment horizontal="right"/>
    </xf>
    <xf numFmtId="4" fontId="2" fillId="0" borderId="9" xfId="0" applyNumberFormat="1" applyFont="1" applyBorder="1" applyAlignment="1">
      <alignment horizontal="right"/>
    </xf>
    <xf numFmtId="4" fontId="2" fillId="0" borderId="2" xfId="0" applyNumberFormat="1" applyFont="1" applyBorder="1" applyAlignment="1">
      <alignment horizontal="right"/>
    </xf>
    <xf numFmtId="4" fontId="2" fillId="0" borderId="11" xfId="0" applyNumberFormat="1" applyFont="1" applyBorder="1" applyAlignment="1">
      <alignment horizontal="right"/>
    </xf>
    <xf numFmtId="10" fontId="3" fillId="4" borderId="1" xfId="0" applyNumberFormat="1" applyFont="1" applyFill="1" applyBorder="1" applyAlignment="1">
      <alignment horizontal="right"/>
    </xf>
    <xf numFmtId="10" fontId="3" fillId="4" borderId="20" xfId="0" applyNumberFormat="1" applyFont="1" applyFill="1" applyBorder="1" applyAlignment="1">
      <alignment horizontal="right"/>
    </xf>
    <xf numFmtId="0" fontId="2" fillId="0" borderId="6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3" xfId="0" applyFont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13" xfId="0" applyFont="1" applyFill="1" applyBorder="1" applyAlignment="1">
      <alignment horizontal="left"/>
    </xf>
    <xf numFmtId="10" fontId="2" fillId="4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right"/>
    </xf>
    <xf numFmtId="164" fontId="2" fillId="0" borderId="20" xfId="0" applyNumberFormat="1" applyFont="1" applyBorder="1" applyAlignment="1">
      <alignment horizontal="right"/>
    </xf>
    <xf numFmtId="164" fontId="2" fillId="4" borderId="2" xfId="0" applyNumberFormat="1" applyFont="1" applyFill="1" applyBorder="1" applyAlignment="1">
      <alignment horizontal="right"/>
    </xf>
    <xf numFmtId="164" fontId="2" fillId="4" borderId="11" xfId="0" applyNumberFormat="1" applyFont="1" applyFill="1" applyBorder="1" applyAlignment="1">
      <alignment horizontal="right"/>
    </xf>
    <xf numFmtId="164" fontId="3" fillId="4" borderId="16" xfId="0" applyNumberFormat="1" applyFont="1" applyFill="1" applyBorder="1" applyAlignment="1">
      <alignment horizontal="right"/>
    </xf>
    <xf numFmtId="164" fontId="3" fillId="4" borderId="17" xfId="0" applyNumberFormat="1" applyFont="1" applyFill="1" applyBorder="1" applyAlignment="1">
      <alignment horizontal="right"/>
    </xf>
    <xf numFmtId="0" fontId="3" fillId="7" borderId="21" xfId="0" applyFont="1" applyFill="1" applyBorder="1" applyAlignment="1">
      <alignment horizontal="left"/>
    </xf>
    <xf numFmtId="0" fontId="3" fillId="7" borderId="22" xfId="0" applyFont="1" applyFill="1" applyBorder="1" applyAlignment="1">
      <alignment horizontal="left"/>
    </xf>
    <xf numFmtId="0" fontId="3" fillId="7" borderId="23" xfId="0" applyFont="1" applyFill="1" applyBorder="1" applyAlignment="1">
      <alignment horizontal="left"/>
    </xf>
    <xf numFmtId="164" fontId="3" fillId="4" borderId="13" xfId="0" applyNumberFormat="1" applyFont="1" applyFill="1" applyBorder="1" applyAlignment="1">
      <alignment horizontal="right"/>
    </xf>
    <xf numFmtId="0" fontId="3" fillId="4" borderId="13" xfId="0" applyFont="1" applyFill="1" applyBorder="1" applyAlignment="1">
      <alignment horizontal="right"/>
    </xf>
    <xf numFmtId="0" fontId="3" fillId="4" borderId="19" xfId="0" applyFont="1" applyFill="1" applyBorder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13" xfId="0" applyFont="1" applyBorder="1" applyAlignment="1">
      <alignment horizontal="left" vertical="center" wrapText="1"/>
    </xf>
    <xf numFmtId="164" fontId="2" fillId="2" borderId="8" xfId="0" applyNumberFormat="1" applyFont="1" applyFill="1" applyBorder="1" applyAlignment="1" applyProtection="1">
      <alignment horizontal="right"/>
      <protection locked="0"/>
    </xf>
    <xf numFmtId="164" fontId="2" fillId="2" borderId="9" xfId="0" applyNumberFormat="1" applyFont="1" applyFill="1" applyBorder="1" applyAlignment="1" applyProtection="1">
      <alignment horizontal="right"/>
      <protection locked="0"/>
    </xf>
    <xf numFmtId="164" fontId="2" fillId="0" borderId="2" xfId="0" applyNumberFormat="1" applyFont="1" applyBorder="1" applyAlignment="1">
      <alignment horizontal="right"/>
    </xf>
    <xf numFmtId="164" fontId="2" fillId="0" borderId="11" xfId="0" applyNumberFormat="1" applyFont="1" applyBorder="1" applyAlignment="1">
      <alignment horizontal="right"/>
    </xf>
    <xf numFmtId="164" fontId="3" fillId="4" borderId="2" xfId="0" applyNumberFormat="1" applyFont="1" applyFill="1" applyBorder="1" applyAlignment="1">
      <alignment horizontal="right"/>
    </xf>
    <xf numFmtId="164" fontId="3" fillId="4" borderId="11" xfId="0" applyNumberFormat="1" applyFont="1" applyFill="1" applyBorder="1" applyAlignment="1">
      <alignment horizontal="right"/>
    </xf>
    <xf numFmtId="14" fontId="2" fillId="2" borderId="2" xfId="0" applyNumberFormat="1" applyFont="1" applyFill="1" applyBorder="1" applyAlignment="1" applyProtection="1">
      <alignment horizontal="left"/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3" fillId="0" borderId="0" xfId="0" applyFont="1" applyAlignment="1">
      <alignment horizontal="center"/>
    </xf>
    <xf numFmtId="0" fontId="3" fillId="6" borderId="0" xfId="0" applyFont="1" applyFill="1" applyAlignment="1">
      <alignment horizontal="center"/>
    </xf>
    <xf numFmtId="14" fontId="2" fillId="2" borderId="1" xfId="0" applyNumberFormat="1" applyFont="1" applyFill="1" applyBorder="1" applyAlignment="1" applyProtection="1">
      <alignment horizontal="left"/>
      <protection locked="0"/>
    </xf>
    <xf numFmtId="0" fontId="2" fillId="5" borderId="0" xfId="0" applyFont="1" applyFill="1" applyAlignment="1">
      <alignment horizontal="right" vertical="center" wrapText="1"/>
    </xf>
    <xf numFmtId="14" fontId="3" fillId="4" borderId="21" xfId="0" applyNumberFormat="1" applyFont="1" applyFill="1" applyBorder="1" applyAlignment="1">
      <alignment horizontal="center" vertical="center"/>
    </xf>
    <xf numFmtId="14" fontId="3" fillId="4" borderId="22" xfId="0" applyNumberFormat="1" applyFont="1" applyFill="1" applyBorder="1" applyAlignment="1">
      <alignment horizontal="center" vertical="center"/>
    </xf>
    <xf numFmtId="14" fontId="3" fillId="4" borderId="23" xfId="0" applyNumberFormat="1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7" borderId="23" xfId="0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 applyProtection="1">
      <alignment horizontal="right"/>
      <protection locked="0"/>
    </xf>
    <xf numFmtId="164" fontId="2" fillId="2" borderId="11" xfId="0" applyNumberFormat="1" applyFont="1" applyFill="1" applyBorder="1" applyAlignment="1" applyProtection="1">
      <alignment horizontal="right"/>
      <protection locked="0"/>
    </xf>
    <xf numFmtId="0" fontId="2" fillId="0" borderId="4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3" fillId="3" borderId="14" xfId="0" applyFont="1" applyFill="1" applyBorder="1" applyAlignment="1">
      <alignment horizontal="left"/>
    </xf>
    <xf numFmtId="0" fontId="3" fillId="4" borderId="16" xfId="0" applyFont="1" applyFill="1" applyBorder="1" applyAlignment="1">
      <alignment horizontal="right"/>
    </xf>
    <xf numFmtId="0" fontId="3" fillId="4" borderId="17" xfId="0" applyFon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6ECD6"/>
      <color rgb="FFCA992C"/>
      <color rgb="FFEFDCB3"/>
      <color rgb="FFFFFF85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4</xdr:row>
          <xdr:rowOff>9525</xdr:rowOff>
        </xdr:from>
        <xdr:to>
          <xdr:col>11</xdr:col>
          <xdr:colOff>276225</xdr:colOff>
          <xdr:row>5</xdr:row>
          <xdr:rowOff>104775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49695</xdr:colOff>
      <xdr:row>20</xdr:row>
      <xdr:rowOff>49696</xdr:rowOff>
    </xdr:from>
    <xdr:to>
      <xdr:col>12</xdr:col>
      <xdr:colOff>224299</xdr:colOff>
      <xdr:row>21</xdr:row>
      <xdr:rowOff>135193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6243" y="3128422"/>
          <a:ext cx="174604" cy="248344"/>
        </a:xfrm>
        <a:prstGeom prst="rightBrace">
          <a:avLst>
            <a:gd name="adj1" fmla="val 26126"/>
            <a:gd name="adj2" fmla="val 48706"/>
          </a:avLst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hfa.gov/DataTools/Downloads/Pages/Conforming-Loan-Limits.asp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BA7BE-6D23-4C7F-B397-65CD206C66E6}">
  <sheetPr codeName="Sheet1"/>
  <dimension ref="B6:N50"/>
  <sheetViews>
    <sheetView showGridLines="0" tabSelected="1" showRuler="0" topLeftCell="A10" zoomScale="160" zoomScaleNormal="160" zoomScalePageLayoutView="115" workbookViewId="0">
      <selection activeCell="F17" sqref="F17:L17"/>
    </sheetView>
  </sheetViews>
  <sheetFormatPr defaultRowHeight="12.75" x14ac:dyDescent="0.2"/>
  <cols>
    <col min="1" max="1" width="2.42578125" style="8" customWidth="1"/>
    <col min="2" max="2" width="4.85546875" style="2" customWidth="1"/>
    <col min="3" max="3" width="9.42578125" style="2" customWidth="1"/>
    <col min="4" max="4" width="9.5703125" style="2" customWidth="1"/>
    <col min="5" max="5" width="14.28515625" style="2" customWidth="1"/>
    <col min="6" max="6" width="6.85546875" style="2" customWidth="1"/>
    <col min="7" max="7" width="9.140625" style="2"/>
    <col min="8" max="8" width="12.42578125" style="2" customWidth="1"/>
    <col min="9" max="9" width="3.5703125" style="2" customWidth="1"/>
    <col min="10" max="10" width="16.85546875" style="2" customWidth="1"/>
    <col min="11" max="11" width="7" style="2" customWidth="1"/>
    <col min="12" max="12" width="5.42578125" style="2" customWidth="1"/>
    <col min="13" max="13" width="4.140625" style="8" customWidth="1"/>
    <col min="14" max="14" width="38" style="8" customWidth="1"/>
    <col min="15" max="16384" width="9.140625" style="8"/>
  </cols>
  <sheetData>
    <row r="6" spans="2:12" x14ac:dyDescent="0.2">
      <c r="B6" s="70" t="s">
        <v>0</v>
      </c>
      <c r="C6" s="70"/>
      <c r="D6" s="70"/>
      <c r="E6" s="70"/>
      <c r="F6" s="70"/>
      <c r="G6" s="70"/>
      <c r="H6" s="70"/>
      <c r="I6" s="70"/>
      <c r="J6" s="70"/>
      <c r="K6" s="70"/>
      <c r="L6" s="70"/>
    </row>
    <row r="7" spans="2:12" x14ac:dyDescent="0.2">
      <c r="B7" s="70" t="s">
        <v>1</v>
      </c>
      <c r="C7" s="70"/>
      <c r="D7" s="70"/>
      <c r="E7" s="70"/>
      <c r="F7" s="70"/>
      <c r="G7" s="70"/>
      <c r="H7" s="70"/>
      <c r="I7" s="70"/>
      <c r="J7" s="70"/>
      <c r="K7" s="70"/>
      <c r="L7" s="70"/>
    </row>
    <row r="8" spans="2:12" ht="6.75" customHeight="1" x14ac:dyDescent="0.2"/>
    <row r="9" spans="2:12" ht="15" customHeight="1" x14ac:dyDescent="0.2">
      <c r="B9" s="71" t="s">
        <v>72</v>
      </c>
      <c r="C9" s="71"/>
      <c r="D9" s="71"/>
      <c r="E9" s="71"/>
      <c r="F9" s="71"/>
      <c r="G9" s="71"/>
      <c r="H9" s="71"/>
      <c r="I9" s="71"/>
      <c r="J9" s="71"/>
      <c r="K9" s="71"/>
      <c r="L9" s="71"/>
    </row>
    <row r="10" spans="2:12" ht="8.25" customHeight="1" x14ac:dyDescent="0.2"/>
    <row r="11" spans="2:12" x14ac:dyDescent="0.2">
      <c r="B11" s="34" t="s">
        <v>2</v>
      </c>
      <c r="C11" s="34"/>
      <c r="D11" s="32" t="s">
        <v>76</v>
      </c>
      <c r="E11" s="32"/>
      <c r="F11" s="32"/>
      <c r="G11" s="32"/>
      <c r="I11" s="34" t="s">
        <v>5</v>
      </c>
      <c r="J11" s="34"/>
      <c r="K11" s="72" t="s">
        <v>76</v>
      </c>
      <c r="L11" s="72"/>
    </row>
    <row r="12" spans="2:12" x14ac:dyDescent="0.2">
      <c r="B12" s="34" t="s">
        <v>3</v>
      </c>
      <c r="C12" s="34"/>
      <c r="D12" s="69" t="s">
        <v>76</v>
      </c>
      <c r="E12" s="69"/>
      <c r="F12" s="69"/>
      <c r="G12" s="69"/>
      <c r="I12" s="34" t="s">
        <v>6</v>
      </c>
      <c r="J12" s="34"/>
      <c r="K12" s="69" t="s">
        <v>76</v>
      </c>
      <c r="L12" s="69"/>
    </row>
    <row r="13" spans="2:12" x14ac:dyDescent="0.2">
      <c r="B13" s="34" t="s">
        <v>4</v>
      </c>
      <c r="C13" s="34"/>
      <c r="D13" s="34"/>
      <c r="E13" s="68" t="s">
        <v>76</v>
      </c>
      <c r="F13" s="68"/>
      <c r="G13" s="68"/>
    </row>
    <row r="14" spans="2:12" ht="6" customHeight="1" thickBot="1" x14ac:dyDescent="0.25">
      <c r="B14" s="9"/>
      <c r="C14" s="9"/>
      <c r="D14" s="9"/>
      <c r="E14" s="10"/>
      <c r="F14" s="9"/>
      <c r="G14" s="9"/>
      <c r="H14" s="8"/>
      <c r="I14" s="8"/>
      <c r="J14" s="8"/>
      <c r="K14" s="8"/>
      <c r="L14" s="8"/>
    </row>
    <row r="15" spans="2:12" ht="16.5" customHeight="1" thickBot="1" x14ac:dyDescent="0.25">
      <c r="B15" s="77" t="s">
        <v>60</v>
      </c>
      <c r="C15" s="78"/>
      <c r="D15" s="78"/>
      <c r="E15" s="78"/>
      <c r="F15" s="79"/>
      <c r="G15" s="74" t="e">
        <f>E13+210</f>
        <v>#VALUE!</v>
      </c>
      <c r="H15" s="75"/>
      <c r="I15" s="76"/>
    </row>
    <row r="16" spans="2:12" ht="7.5" customHeight="1" x14ac:dyDescent="0.2">
      <c r="B16" s="11"/>
      <c r="C16" s="11"/>
      <c r="D16" s="11"/>
      <c r="E16" s="11"/>
      <c r="F16" s="11"/>
      <c r="G16" s="11"/>
      <c r="H16" s="11"/>
      <c r="I16" s="11"/>
      <c r="J16" s="12"/>
      <c r="K16" s="12"/>
      <c r="L16" s="12"/>
    </row>
    <row r="17" spans="2:14" x14ac:dyDescent="0.2">
      <c r="B17" s="34" t="s">
        <v>73</v>
      </c>
      <c r="C17" s="34"/>
      <c r="D17" s="34"/>
      <c r="E17" s="34"/>
      <c r="F17" s="32" t="s">
        <v>76</v>
      </c>
      <c r="G17" s="32"/>
      <c r="H17" s="32"/>
      <c r="I17" s="32"/>
      <c r="J17" s="32"/>
      <c r="K17" s="32"/>
      <c r="L17" s="32"/>
    </row>
    <row r="18" spans="2:14" x14ac:dyDescent="0.2">
      <c r="B18" s="31" t="s">
        <v>57</v>
      </c>
      <c r="C18" s="31"/>
      <c r="D18" s="7" t="s">
        <v>58</v>
      </c>
      <c r="E18" s="32" t="s">
        <v>76</v>
      </c>
      <c r="F18" s="32"/>
      <c r="G18" s="7" t="s">
        <v>59</v>
      </c>
      <c r="H18" s="32" t="s">
        <v>76</v>
      </c>
      <c r="I18" s="32"/>
      <c r="J18" s="2" t="s">
        <v>61</v>
      </c>
      <c r="K18" s="33" t="s">
        <v>76</v>
      </c>
      <c r="L18" s="33"/>
    </row>
    <row r="19" spans="2:14" ht="13.5" thickBot="1" x14ac:dyDescent="0.25">
      <c r="B19" s="3"/>
      <c r="C19" s="3"/>
      <c r="D19" s="3"/>
      <c r="E19" s="3"/>
      <c r="F19" s="4"/>
      <c r="G19" s="4"/>
      <c r="H19" s="4"/>
      <c r="I19" s="4"/>
      <c r="J19" s="4" t="s">
        <v>76</v>
      </c>
      <c r="K19" s="4"/>
    </row>
    <row r="20" spans="2:14" ht="15" customHeight="1" thickBot="1" x14ac:dyDescent="0.25">
      <c r="B20" s="54" t="s">
        <v>7</v>
      </c>
      <c r="C20" s="55"/>
      <c r="D20" s="55"/>
      <c r="E20" s="55"/>
      <c r="F20" s="55"/>
      <c r="G20" s="55"/>
      <c r="H20" s="55"/>
      <c r="I20" s="55"/>
      <c r="J20" s="55"/>
      <c r="K20" s="55"/>
      <c r="L20" s="56"/>
    </row>
    <row r="21" spans="2:14" x14ac:dyDescent="0.2">
      <c r="B21" s="13" t="s">
        <v>8</v>
      </c>
      <c r="C21" s="41" t="s">
        <v>75</v>
      </c>
      <c r="D21" s="41"/>
      <c r="E21" s="41"/>
      <c r="F21" s="41"/>
      <c r="G21" s="41"/>
      <c r="H21" s="41"/>
      <c r="I21" s="14"/>
      <c r="J21" s="62">
        <v>0</v>
      </c>
      <c r="K21" s="62"/>
      <c r="L21" s="63"/>
      <c r="N21" s="73" t="s">
        <v>74</v>
      </c>
    </row>
    <row r="22" spans="2:14" x14ac:dyDescent="0.2">
      <c r="B22" s="15" t="s">
        <v>11</v>
      </c>
      <c r="C22" s="34" t="s">
        <v>71</v>
      </c>
      <c r="D22" s="34"/>
      <c r="E22" s="34"/>
      <c r="F22" s="34"/>
      <c r="G22" s="34"/>
      <c r="H22" s="82"/>
      <c r="I22" s="16"/>
      <c r="J22" s="80">
        <v>0</v>
      </c>
      <c r="K22" s="80"/>
      <c r="L22" s="81"/>
      <c r="N22" s="73"/>
    </row>
    <row r="23" spans="2:14" x14ac:dyDescent="0.2">
      <c r="B23" s="15" t="s">
        <v>12</v>
      </c>
      <c r="C23" s="42" t="s">
        <v>62</v>
      </c>
      <c r="D23" s="42"/>
      <c r="E23" s="42"/>
      <c r="F23" s="42"/>
      <c r="G23" s="42"/>
      <c r="H23" s="83"/>
      <c r="I23" s="17" t="s">
        <v>9</v>
      </c>
      <c r="J23" s="80">
        <v>0</v>
      </c>
      <c r="K23" s="80"/>
      <c r="L23" s="81"/>
    </row>
    <row r="24" spans="2:14" ht="13.5" thickBot="1" x14ac:dyDescent="0.25">
      <c r="B24" s="18" t="s">
        <v>13</v>
      </c>
      <c r="C24" s="45" t="s">
        <v>14</v>
      </c>
      <c r="D24" s="45"/>
      <c r="E24" s="45"/>
      <c r="F24" s="45"/>
      <c r="G24" s="45"/>
      <c r="H24" s="84"/>
      <c r="I24" s="19" t="s">
        <v>10</v>
      </c>
      <c r="J24" s="52">
        <f>((J21+J22)-J23)</f>
        <v>0</v>
      </c>
      <c r="K24" s="85"/>
      <c r="L24" s="86"/>
    </row>
    <row r="25" spans="2:14" ht="13.5" thickBot="1" x14ac:dyDescent="0.25">
      <c r="J25" s="7"/>
      <c r="K25" s="7"/>
      <c r="L25" s="7"/>
    </row>
    <row r="26" spans="2:14" ht="15" customHeight="1" thickBot="1" x14ac:dyDescent="0.25">
      <c r="B26" s="54" t="s">
        <v>15</v>
      </c>
      <c r="C26" s="55"/>
      <c r="D26" s="55"/>
      <c r="E26" s="55"/>
      <c r="F26" s="55"/>
      <c r="G26" s="55"/>
      <c r="H26" s="55"/>
      <c r="I26" s="55"/>
      <c r="J26" s="55"/>
      <c r="K26" s="55"/>
      <c r="L26" s="56"/>
    </row>
    <row r="27" spans="2:14" x14ac:dyDescent="0.2">
      <c r="B27" s="13" t="s">
        <v>16</v>
      </c>
      <c r="C27" s="41" t="s">
        <v>70</v>
      </c>
      <c r="D27" s="41"/>
      <c r="E27" s="41"/>
      <c r="F27" s="41"/>
      <c r="G27" s="41"/>
      <c r="H27" s="41"/>
      <c r="I27" s="14"/>
      <c r="J27" s="62">
        <v>0</v>
      </c>
      <c r="K27" s="62"/>
      <c r="L27" s="63"/>
    </row>
    <row r="28" spans="2:14" x14ac:dyDescent="0.2">
      <c r="B28" s="15" t="s">
        <v>17</v>
      </c>
      <c r="C28" s="42" t="s">
        <v>63</v>
      </c>
      <c r="D28" s="42"/>
      <c r="E28" s="42"/>
      <c r="F28" s="42"/>
      <c r="G28" s="42"/>
      <c r="H28" s="42"/>
      <c r="I28" s="17" t="s">
        <v>21</v>
      </c>
      <c r="J28" s="64">
        <f>(J27*75%)</f>
        <v>0</v>
      </c>
      <c r="K28" s="64"/>
      <c r="L28" s="65"/>
    </row>
    <row r="29" spans="2:14" x14ac:dyDescent="0.2">
      <c r="B29" s="15" t="s">
        <v>18</v>
      </c>
      <c r="C29" s="42" t="s">
        <v>64</v>
      </c>
      <c r="D29" s="42"/>
      <c r="E29" s="42"/>
      <c r="F29" s="42"/>
      <c r="G29" s="42"/>
      <c r="H29" s="42"/>
      <c r="I29" s="17" t="s">
        <v>22</v>
      </c>
      <c r="J29" s="64">
        <f>J24</f>
        <v>0</v>
      </c>
      <c r="K29" s="64"/>
      <c r="L29" s="65"/>
    </row>
    <row r="30" spans="2:14" x14ac:dyDescent="0.2">
      <c r="B30" s="20" t="s">
        <v>19</v>
      </c>
      <c r="C30" s="44" t="s">
        <v>20</v>
      </c>
      <c r="D30" s="44"/>
      <c r="E30" s="44"/>
      <c r="F30" s="44"/>
      <c r="G30" s="44"/>
      <c r="H30" s="44"/>
      <c r="I30" s="17" t="s">
        <v>10</v>
      </c>
      <c r="J30" s="66">
        <f>MIN(J27,(J28+J29))</f>
        <v>0</v>
      </c>
      <c r="K30" s="66"/>
      <c r="L30" s="67"/>
    </row>
    <row r="31" spans="2:14" ht="9" customHeight="1" x14ac:dyDescent="0.2">
      <c r="B31" s="21"/>
      <c r="C31" s="60" t="s">
        <v>65</v>
      </c>
      <c r="D31" s="60"/>
      <c r="E31" s="60"/>
      <c r="F31" s="60"/>
      <c r="G31" s="60"/>
      <c r="H31" s="60"/>
      <c r="I31" s="60"/>
      <c r="J31" s="60"/>
      <c r="K31" s="60"/>
      <c r="L31" s="5"/>
    </row>
    <row r="32" spans="2:14" ht="8.25" customHeight="1" thickBot="1" x14ac:dyDescent="0.25">
      <c r="B32" s="22"/>
      <c r="C32" s="61"/>
      <c r="D32" s="61"/>
      <c r="E32" s="61"/>
      <c r="F32" s="61"/>
      <c r="G32" s="61"/>
      <c r="H32" s="61"/>
      <c r="I32" s="61"/>
      <c r="J32" s="61"/>
      <c r="K32" s="61"/>
      <c r="L32" s="6"/>
    </row>
    <row r="33" spans="2:12" ht="13.5" thickBot="1" x14ac:dyDescent="0.25">
      <c r="J33" s="7"/>
      <c r="K33" s="7"/>
      <c r="L33" s="7"/>
    </row>
    <row r="34" spans="2:12" ht="15" customHeight="1" thickBot="1" x14ac:dyDescent="0.25">
      <c r="B34" s="54" t="s">
        <v>23</v>
      </c>
      <c r="C34" s="55"/>
      <c r="D34" s="55"/>
      <c r="E34" s="55"/>
      <c r="F34" s="55"/>
      <c r="G34" s="55"/>
      <c r="H34" s="55"/>
      <c r="I34" s="55"/>
      <c r="J34" s="55"/>
      <c r="K34" s="55"/>
      <c r="L34" s="56"/>
    </row>
    <row r="35" spans="2:12" x14ac:dyDescent="0.2">
      <c r="B35" s="15" t="s">
        <v>24</v>
      </c>
      <c r="C35" s="34" t="s">
        <v>27</v>
      </c>
      <c r="D35" s="34"/>
      <c r="E35" s="34"/>
      <c r="F35" s="34"/>
      <c r="G35" s="34"/>
      <c r="H35" s="34"/>
      <c r="J35" s="48">
        <f>J27</f>
        <v>0</v>
      </c>
      <c r="K35" s="48"/>
      <c r="L35" s="49"/>
    </row>
    <row r="36" spans="2:12" x14ac:dyDescent="0.2">
      <c r="B36" s="15" t="s">
        <v>25</v>
      </c>
      <c r="C36" s="42" t="s">
        <v>66</v>
      </c>
      <c r="D36" s="42"/>
      <c r="E36" s="42"/>
      <c r="F36" s="42"/>
      <c r="G36" s="42"/>
      <c r="H36" s="42"/>
      <c r="I36" s="7" t="s">
        <v>9</v>
      </c>
      <c r="J36" s="48">
        <f>J30</f>
        <v>0</v>
      </c>
      <c r="K36" s="48"/>
      <c r="L36" s="49"/>
    </row>
    <row r="37" spans="2:12" ht="13.5" thickBot="1" x14ac:dyDescent="0.25">
      <c r="B37" s="18" t="s">
        <v>26</v>
      </c>
      <c r="C37" s="45" t="s">
        <v>28</v>
      </c>
      <c r="D37" s="45"/>
      <c r="E37" s="45"/>
      <c r="F37" s="45"/>
      <c r="G37" s="45"/>
      <c r="H37" s="45"/>
      <c r="I37" s="23" t="s">
        <v>10</v>
      </c>
      <c r="J37" s="57">
        <f>(J35-J36)</f>
        <v>0</v>
      </c>
      <c r="K37" s="58"/>
      <c r="L37" s="59"/>
    </row>
    <row r="38" spans="2:12" ht="13.5" thickBot="1" x14ac:dyDescent="0.25">
      <c r="J38" s="7"/>
      <c r="K38" s="7"/>
      <c r="L38" s="7"/>
    </row>
    <row r="39" spans="2:12" ht="15" customHeight="1" thickBot="1" x14ac:dyDescent="0.25">
      <c r="B39" s="54" t="s">
        <v>29</v>
      </c>
      <c r="C39" s="55"/>
      <c r="D39" s="55"/>
      <c r="E39" s="55"/>
      <c r="F39" s="55"/>
      <c r="G39" s="55"/>
      <c r="H39" s="55"/>
      <c r="I39" s="55"/>
      <c r="J39" s="55"/>
      <c r="K39" s="55"/>
      <c r="L39" s="56"/>
    </row>
    <row r="40" spans="2:12" x14ac:dyDescent="0.2">
      <c r="B40" s="15" t="s">
        <v>30</v>
      </c>
      <c r="C40" s="34" t="s">
        <v>33</v>
      </c>
      <c r="D40" s="34"/>
      <c r="E40" s="34"/>
      <c r="F40" s="34"/>
      <c r="G40" s="34"/>
      <c r="H40" s="34"/>
      <c r="I40" s="7"/>
      <c r="J40" s="48">
        <f>J30</f>
        <v>0</v>
      </c>
      <c r="K40" s="48"/>
      <c r="L40" s="49"/>
    </row>
    <row r="41" spans="2:12" x14ac:dyDescent="0.2">
      <c r="B41" s="15" t="s">
        <v>31</v>
      </c>
      <c r="C41" s="34" t="s">
        <v>34</v>
      </c>
      <c r="D41" s="34"/>
      <c r="E41" s="46" t="e">
        <f>VLOOKUP(F17,'List Options'!A2:B14,2,FALSE)</f>
        <v>#N/A</v>
      </c>
      <c r="F41" s="46"/>
      <c r="G41" s="47" t="s">
        <v>35</v>
      </c>
      <c r="H41" s="47"/>
      <c r="I41" s="7" t="s">
        <v>21</v>
      </c>
      <c r="J41" s="50" t="e">
        <f>(J40*E41)</f>
        <v>#N/A</v>
      </c>
      <c r="K41" s="50"/>
      <c r="L41" s="51"/>
    </row>
    <row r="42" spans="2:12" ht="13.5" thickBot="1" x14ac:dyDescent="0.25">
      <c r="B42" s="18" t="s">
        <v>32</v>
      </c>
      <c r="C42" s="45" t="s">
        <v>29</v>
      </c>
      <c r="D42" s="45"/>
      <c r="E42" s="45"/>
      <c r="F42" s="45"/>
      <c r="G42" s="45"/>
      <c r="H42" s="45"/>
      <c r="I42" s="23" t="s">
        <v>10</v>
      </c>
      <c r="J42" s="52" t="e">
        <f>(J40+J41)</f>
        <v>#N/A</v>
      </c>
      <c r="K42" s="52"/>
      <c r="L42" s="53"/>
    </row>
    <row r="43" spans="2:12" ht="13.5" thickBot="1" x14ac:dyDescent="0.25">
      <c r="J43" s="7"/>
      <c r="K43" s="7"/>
      <c r="L43" s="7"/>
    </row>
    <row r="44" spans="2:12" ht="13.5" thickBot="1" x14ac:dyDescent="0.25">
      <c r="B44" s="54" t="s">
        <v>36</v>
      </c>
      <c r="C44" s="55"/>
      <c r="D44" s="55"/>
      <c r="E44" s="55"/>
      <c r="F44" s="55"/>
      <c r="G44" s="55"/>
      <c r="H44" s="55"/>
      <c r="I44" s="55"/>
      <c r="J44" s="55"/>
      <c r="K44" s="55"/>
      <c r="L44" s="56"/>
    </row>
    <row r="45" spans="2:12" x14ac:dyDescent="0.2">
      <c r="B45" s="24" t="s">
        <v>37</v>
      </c>
      <c r="C45" s="41" t="s">
        <v>42</v>
      </c>
      <c r="D45" s="41"/>
      <c r="E45" s="41"/>
      <c r="F45" s="41"/>
      <c r="G45" s="41"/>
      <c r="H45" s="41"/>
      <c r="I45" s="25"/>
      <c r="J45" s="35">
        <f>J24</f>
        <v>0</v>
      </c>
      <c r="K45" s="35"/>
      <c r="L45" s="36"/>
    </row>
    <row r="46" spans="2:12" x14ac:dyDescent="0.2">
      <c r="B46" s="21" t="s">
        <v>38</v>
      </c>
      <c r="C46" s="42" t="s">
        <v>67</v>
      </c>
      <c r="D46" s="42"/>
      <c r="E46" s="42"/>
      <c r="F46" s="42"/>
      <c r="G46" s="42"/>
      <c r="H46" s="42"/>
      <c r="I46" s="7" t="s">
        <v>22</v>
      </c>
      <c r="J46" s="37">
        <f>J37</f>
        <v>0</v>
      </c>
      <c r="K46" s="37"/>
      <c r="L46" s="38"/>
    </row>
    <row r="47" spans="2:12" x14ac:dyDescent="0.2">
      <c r="B47" s="21" t="s">
        <v>39</v>
      </c>
      <c r="C47" s="34" t="s">
        <v>43</v>
      </c>
      <c r="D47" s="34"/>
      <c r="E47" s="34"/>
      <c r="F47" s="34"/>
      <c r="G47" s="34"/>
      <c r="H47" s="34"/>
      <c r="I47" s="7" t="s">
        <v>10</v>
      </c>
      <c r="J47" s="37">
        <f>SUM(J45+J46)</f>
        <v>0</v>
      </c>
      <c r="K47" s="37"/>
      <c r="L47" s="38"/>
    </row>
    <row r="48" spans="2:12" x14ac:dyDescent="0.2">
      <c r="B48" s="21" t="s">
        <v>40</v>
      </c>
      <c r="C48" s="34" t="s">
        <v>27</v>
      </c>
      <c r="D48" s="34"/>
      <c r="E48" s="34"/>
      <c r="F48" s="34"/>
      <c r="G48" s="34"/>
      <c r="H48" s="34"/>
      <c r="I48" s="7"/>
      <c r="J48" s="37">
        <f>J27</f>
        <v>0</v>
      </c>
      <c r="K48" s="37"/>
      <c r="L48" s="38"/>
    </row>
    <row r="49" spans="2:12" x14ac:dyDescent="0.2">
      <c r="B49" s="26" t="s">
        <v>41</v>
      </c>
      <c r="C49" s="44" t="s">
        <v>68</v>
      </c>
      <c r="D49" s="44"/>
      <c r="E49" s="44"/>
      <c r="F49" s="44"/>
      <c r="G49" s="44"/>
      <c r="H49" s="44"/>
      <c r="I49" s="27"/>
      <c r="J49" s="39" t="e">
        <f>(J47/J27)</f>
        <v>#DIV/0!</v>
      </c>
      <c r="K49" s="39"/>
      <c r="L49" s="40"/>
    </row>
    <row r="50" spans="2:12" ht="13.5" thickBot="1" x14ac:dyDescent="0.25">
      <c r="B50" s="22"/>
      <c r="C50" s="43" t="s">
        <v>69</v>
      </c>
      <c r="D50" s="43"/>
      <c r="E50" s="43"/>
      <c r="F50" s="43"/>
      <c r="G50" s="43"/>
      <c r="H50" s="43"/>
      <c r="I50" s="28"/>
      <c r="J50" s="29"/>
      <c r="K50" s="29"/>
      <c r="L50" s="30"/>
    </row>
  </sheetData>
  <sheetProtection algorithmName="SHA-512" hashValue="fKSMpkBfbL74c1w66P+nQPizRVVZtrmtVMbKfZPAvy7Sg32PDwiaBQEFdFFpC8CF0D14OTJLB0cKRfqs+PORIQ==" saltValue="94PNlfhQecLjWnVXohUgAQ==" spinCount="100000" sheet="1" selectLockedCells="1"/>
  <mergeCells count="69">
    <mergeCell ref="B39:L39"/>
    <mergeCell ref="B44:L44"/>
    <mergeCell ref="N21:N22"/>
    <mergeCell ref="G15:I15"/>
    <mergeCell ref="B15:F15"/>
    <mergeCell ref="C21:H21"/>
    <mergeCell ref="J21:L21"/>
    <mergeCell ref="J22:L22"/>
    <mergeCell ref="J23:L23"/>
    <mergeCell ref="C22:H22"/>
    <mergeCell ref="C23:H23"/>
    <mergeCell ref="B20:L20"/>
    <mergeCell ref="C24:H24"/>
    <mergeCell ref="C35:H35"/>
    <mergeCell ref="C36:H36"/>
    <mergeCell ref="J24:L24"/>
    <mergeCell ref="B6:L6"/>
    <mergeCell ref="B7:L7"/>
    <mergeCell ref="B9:L9"/>
    <mergeCell ref="B11:C11"/>
    <mergeCell ref="B12:C12"/>
    <mergeCell ref="K11:L11"/>
    <mergeCell ref="K12:L12"/>
    <mergeCell ref="B13:D13"/>
    <mergeCell ref="E13:G13"/>
    <mergeCell ref="D12:G12"/>
    <mergeCell ref="D11:G11"/>
    <mergeCell ref="I11:J11"/>
    <mergeCell ref="I12:J12"/>
    <mergeCell ref="B26:L26"/>
    <mergeCell ref="C37:H37"/>
    <mergeCell ref="J35:L35"/>
    <mergeCell ref="J36:L36"/>
    <mergeCell ref="J37:L37"/>
    <mergeCell ref="C27:H27"/>
    <mergeCell ref="C28:H28"/>
    <mergeCell ref="C29:H29"/>
    <mergeCell ref="C30:H30"/>
    <mergeCell ref="C31:K32"/>
    <mergeCell ref="J27:L27"/>
    <mergeCell ref="J28:L28"/>
    <mergeCell ref="J29:L29"/>
    <mergeCell ref="J30:L30"/>
    <mergeCell ref="B34:L34"/>
    <mergeCell ref="C42:H42"/>
    <mergeCell ref="C41:D41"/>
    <mergeCell ref="E41:F41"/>
    <mergeCell ref="G41:H41"/>
    <mergeCell ref="J40:L40"/>
    <mergeCell ref="J41:L41"/>
    <mergeCell ref="J42:L42"/>
    <mergeCell ref="C40:H40"/>
    <mergeCell ref="C45:H45"/>
    <mergeCell ref="C46:H46"/>
    <mergeCell ref="C47:H47"/>
    <mergeCell ref="C48:H48"/>
    <mergeCell ref="C50:H50"/>
    <mergeCell ref="C49:H49"/>
    <mergeCell ref="J45:L45"/>
    <mergeCell ref="J46:L46"/>
    <mergeCell ref="J47:L47"/>
    <mergeCell ref="J48:L48"/>
    <mergeCell ref="J49:L49"/>
    <mergeCell ref="B18:C18"/>
    <mergeCell ref="E18:F18"/>
    <mergeCell ref="H18:I18"/>
    <mergeCell ref="K18:L18"/>
    <mergeCell ref="F17:L17"/>
    <mergeCell ref="B17:E17"/>
  </mergeCells>
  <dataValidations count="1">
    <dataValidation type="list" allowBlank="1" showInputMessage="1" showErrorMessage="1" sqref="F17:L17" xr:uid="{C9742CB4-44AE-4CA1-A218-33925B2D4FD2}">
      <formula1>LOANS</formula1>
    </dataValidation>
  </dataValidations>
  <hyperlinks>
    <hyperlink ref="B18:C18" r:id="rId1" display="County/Limit" xr:uid="{3B83E197-0255-4ED9-9D27-1DCEBFC05015}"/>
  </hyperlinks>
  <pageMargins left="0.25" right="0.25" top="0.4" bottom="0.4" header="0.25" footer="0.25"/>
  <pageSetup orientation="portrait" horizontalDpi="1200" verticalDpi="1200" r:id="rId2"/>
  <headerFooter>
    <oddFooter>&amp;L&amp;10Effective: 12/14/2018 CJ&amp;R&amp;10Worksheet is for use by mortgage professionals only and subject to change without notice.</oddFooter>
  </headerFooter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9</xdr:col>
                <xdr:colOff>638175</xdr:colOff>
                <xdr:row>4</xdr:row>
                <xdr:rowOff>9525</xdr:rowOff>
              </from>
              <to>
                <xdr:col>11</xdr:col>
                <xdr:colOff>276225</xdr:colOff>
                <xdr:row>5</xdr:row>
                <xdr:rowOff>104775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8F550-885C-407B-972F-8DA4F8B5380A}">
  <sheetPr codeName="Sheet2"/>
  <dimension ref="A2:B14"/>
  <sheetViews>
    <sheetView workbookViewId="0">
      <selection activeCell="A2" sqref="A2"/>
    </sheetView>
  </sheetViews>
  <sheetFormatPr defaultRowHeight="15" x14ac:dyDescent="0.25"/>
  <cols>
    <col min="1" max="1" width="63.28515625" bestFit="1" customWidth="1"/>
  </cols>
  <sheetData>
    <row r="2" spans="1:2" x14ac:dyDescent="0.25">
      <c r="A2" t="s">
        <v>56</v>
      </c>
      <c r="B2" s="1">
        <v>2.1499999999999998E-2</v>
      </c>
    </row>
    <row r="3" spans="1:2" x14ac:dyDescent="0.25">
      <c r="A3" t="s">
        <v>55</v>
      </c>
      <c r="B3" s="1">
        <v>2.4E-2</v>
      </c>
    </row>
    <row r="4" spans="1:2" x14ac:dyDescent="0.25">
      <c r="A4" t="s">
        <v>44</v>
      </c>
      <c r="B4" s="1">
        <v>3.3000000000000002E-2</v>
      </c>
    </row>
    <row r="5" spans="1:2" x14ac:dyDescent="0.25">
      <c r="A5" t="s">
        <v>45</v>
      </c>
      <c r="B5" s="1">
        <v>3.3000000000000002E-2</v>
      </c>
    </row>
    <row r="6" spans="1:2" x14ac:dyDescent="0.25">
      <c r="A6" t="s">
        <v>46</v>
      </c>
      <c r="B6" s="1">
        <v>1.4999999999999999E-2</v>
      </c>
    </row>
    <row r="7" spans="1:2" x14ac:dyDescent="0.25">
      <c r="A7" t="s">
        <v>47</v>
      </c>
      <c r="B7" s="1">
        <v>1.7500000000000002E-2</v>
      </c>
    </row>
    <row r="8" spans="1:2" x14ac:dyDescent="0.25">
      <c r="A8" t="s">
        <v>48</v>
      </c>
      <c r="B8" s="1">
        <v>1.2500000000000001E-2</v>
      </c>
    </row>
    <row r="9" spans="1:2" x14ac:dyDescent="0.25">
      <c r="A9" t="s">
        <v>49</v>
      </c>
      <c r="B9" s="1">
        <v>1.4999999999999999E-2</v>
      </c>
    </row>
    <row r="10" spans="1:2" x14ac:dyDescent="0.25">
      <c r="A10" t="s">
        <v>50</v>
      </c>
      <c r="B10" s="1">
        <v>2.1499999999999998E-2</v>
      </c>
    </row>
    <row r="11" spans="1:2" x14ac:dyDescent="0.25">
      <c r="A11" t="s">
        <v>51</v>
      </c>
      <c r="B11" s="1">
        <v>2.4E-2</v>
      </c>
    </row>
    <row r="12" spans="1:2" x14ac:dyDescent="0.25">
      <c r="A12" t="s">
        <v>52</v>
      </c>
      <c r="B12" s="1">
        <v>3.3000000000000002E-2</v>
      </c>
    </row>
    <row r="13" spans="1:2" x14ac:dyDescent="0.25">
      <c r="A13" t="s">
        <v>53</v>
      </c>
      <c r="B13" s="1">
        <v>3.3000000000000002E-2</v>
      </c>
    </row>
    <row r="14" spans="1:2" x14ac:dyDescent="0.25">
      <c r="A14" t="s">
        <v>54</v>
      </c>
      <c r="B14" s="1">
        <v>5.0000000000000001E-3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VA_Maximum_Mortgage_Worksheet</vt:lpstr>
      <vt:lpstr>List Options</vt:lpstr>
      <vt:lpstr>delete</vt:lpstr>
      <vt:lpstr>Loan</vt:lpstr>
      <vt:lpstr>LOANS</vt:lpstr>
      <vt:lpstr>VA_Maximum_Mortgage_Worksheet!Print_Area</vt:lpstr>
      <vt:lpstr>REMOVE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Hannah Frahm</dc:creator>
  <cp:lastModifiedBy>Reva Haskin</cp:lastModifiedBy>
  <cp:lastPrinted>2018-12-18T23:55:13Z</cp:lastPrinted>
  <dcterms:created xsi:type="dcterms:W3CDTF">2018-12-14T21:16:56Z</dcterms:created>
  <dcterms:modified xsi:type="dcterms:W3CDTF">2025-09-03T15:00:12Z</dcterms:modified>
</cp:coreProperties>
</file>